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nnahmen" sheetId="2" state="visible" r:id="rId2"/>
    <sheet xmlns:r="http://schemas.openxmlformats.org/officeDocument/2006/relationships" name="Konservativ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Upside" sheetId="5" state="visible" r:id="rId5"/>
    <sheet xmlns:r="http://schemas.openxmlformats.org/officeDocument/2006/relationships" name="Szenariovergleich" sheetId="6" state="visible" r:id="rId6"/>
    <sheet xmlns:r="http://schemas.openxmlformats.org/officeDocument/2006/relationships" name="Sensitivität" sheetId="7" state="visible" r:id="rId7"/>
    <sheet xmlns:r="http://schemas.openxmlformats.org/officeDocument/2006/relationships" name="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x&quot;"/>
    <numFmt numFmtId="165" formatCode="#,##0&quot; k€&quot;"/>
    <numFmt numFmtId="166" formatCode="#,##0.0&quot; k€&quot;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B1F3A"/>
      <sz val="16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7E6"/>
      </patternFill>
    </fill>
    <fill>
      <patternFill patternType="solid">
        <fgColor rgb="00DCE6F1"/>
      </patternFill>
    </fill>
    <fill>
      <patternFill patternType="solid">
        <fgColor rgb="00E8F4EC"/>
      </patternFill>
    </fill>
  </fills>
  <borders count="2">
    <border>
      <left/>
      <right/>
      <top/>
      <bottom/>
      <diagonal/>
    </border>
    <border>
      <left style="thin">
        <color rgb="00B8C2D0"/>
      </left>
      <right style="thin">
        <color rgb="00B8C2D0"/>
      </right>
      <top style="thin">
        <color rgb="00B8C2D0"/>
      </top>
      <bottom style="thin">
        <color rgb="00B8C2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9" fontId="2" fillId="3" borderId="1" pivotButton="0" quotePrefix="0" xfId="0"/>
    <xf numFmtId="164" fontId="2" fillId="3" borderId="1" pivotButton="0" quotePrefix="0" xfId="0"/>
    <xf numFmtId="0" fontId="6" fillId="4" borderId="0" pivotButton="0" quotePrefix="0" xfId="0"/>
    <xf numFmtId="0" fontId="0" fillId="4" borderId="0" pivotButton="0" quotePrefix="0" xfId="0"/>
    <xf numFmtId="3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3" fontId="3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165" fontId="3" fillId="5" borderId="1" pivotButton="0" quotePrefix="0" xfId="0"/>
    <xf numFmtId="165" fontId="3" fillId="0" borderId="1" pivotButton="0" quotePrefix="0" xfId="0"/>
    <xf numFmtId="9" fontId="2" fillId="5" borderId="1" pivotButton="0" quotePrefix="0" xfId="0"/>
    <xf numFmtId="9" fontId="2" fillId="0" borderId="1" pivotButton="0" quotePrefix="0" xfId="0"/>
    <xf numFmtId="165" fontId="2" fillId="5" borderId="1" pivotButton="0" quotePrefix="0" xfId="0"/>
    <xf numFmtId="0" fontId="3" fillId="5" borderId="1" pivotButton="0" quotePrefix="0" xfId="0"/>
    <xf numFmtId="3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0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Umsatzentwicklung nach Szenario (k€)</a:t>
            </a:r>
          </a:p>
        </rich>
      </tx>
    </title>
    <plotArea>
      <lineChart>
        <grouping val="standard"/>
        <ser>
          <idx val="0"/>
          <order val="0"/>
          <tx>
            <strRef>
              <f>'Szenariovergleich'!A16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'Szenariovergleich'!$B$15:$G$15</f>
            </numRef>
          </cat>
          <val>
            <numRef>
              <f>'Szenariovergleich'!$B$16:$G$16</f>
            </numRef>
          </val>
        </ser>
        <ser>
          <idx val="1"/>
          <order val="1"/>
          <tx>
            <strRef>
              <f>'Szenariovergleich'!A17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'Szenariovergleich'!$B$15:$G$15</f>
            </numRef>
          </cat>
          <val>
            <numRef>
              <f>'Szenariovergleich'!$B$17:$G$17</f>
            </numRef>
          </val>
        </ser>
        <ser>
          <idx val="2"/>
          <order val="2"/>
          <tx>
            <strRef>
              <f>'Szenariovergleich'!A18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'Szenariovergleich'!$B$15:$G$15</f>
            </numRef>
          </cat>
          <val>
            <numRef>
              <f>'Szenariovergleich'!$B$18:$G$18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nach Szenario (k€)</a:t>
            </a:r>
          </a:p>
        </rich>
      </tx>
    </title>
    <plotArea>
      <lineChart>
        <grouping val="standard"/>
        <ser>
          <idx val="0"/>
          <order val="0"/>
          <tx>
            <strRef>
              <f>'Szenariovergleich'!A19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'Szenariovergleich'!$B$15:$G$15</f>
            </numRef>
          </cat>
          <val>
            <numRef>
              <f>'Szenariovergleich'!$B$19:$G$19</f>
            </numRef>
          </val>
        </ser>
        <ser>
          <idx val="1"/>
          <order val="1"/>
          <tx>
            <strRef>
              <f>'Szenariovergleich'!A20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'Szenariovergleich'!$B$15:$G$15</f>
            </numRef>
          </cat>
          <val>
            <numRef>
              <f>'Szenariovergleich'!$B$20:$G$20</f>
            </numRef>
          </val>
        </ser>
        <ser>
          <idx val="2"/>
          <order val="2"/>
          <tx>
            <strRef>
              <f>'Szenariovergleich'!A21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'Szenariovergleich'!$B$15:$G$15</f>
            </numRef>
          </cat>
          <val>
            <numRef>
              <f>'Szenariovergleich'!$B$21:$G$21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Sensitivität: Δ EBITDA 2031 (k€, Base)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'Sensitivität'!$A$18:$A$27</f>
            </numRef>
          </cat>
          <val>
            <numRef>
              <f>'Sensitivität'!$B$18:$B$27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17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KRONOS Eos — 5-Jahres-Finanzmodell (2026–2031)</t>
        </is>
      </c>
    </row>
    <row r="3">
      <c r="A3" s="2" t="inlineStr">
        <is>
          <t>Zweck: Businessplan für eine Low-Cost-AME-Plattform (25–100 k€) auf Basis der KRONOS-Technologie.</t>
        </is>
      </c>
    </row>
    <row r="4">
      <c r="A4" s="3" t="inlineStr">
        <is>
          <t>Struktur:</t>
        </is>
      </c>
    </row>
    <row r="5">
      <c r="A5" s="2" t="inlineStr">
        <is>
          <t xml:space="preserve">  • Annahmen — zentrale Parameter mit Evidenzstufen (A–D) und Quellenverweis</t>
        </is>
      </c>
    </row>
    <row r="6">
      <c r="A6" s="2" t="inlineStr">
        <is>
          <t xml:space="preserve">  • Konservativ / Base / Upside — vollständige P&amp;L- und Cash-Modelle (editierbare Formeln)</t>
        </is>
      </c>
    </row>
    <row r="7">
      <c r="A7" s="2" t="inlineStr">
        <is>
          <t xml:space="preserve">  • Szenariovergleich — Kernkennzahlen und Diagramme</t>
        </is>
      </c>
    </row>
    <row r="8">
      <c r="A8" s="2" t="inlineStr">
        <is>
          <t xml:space="preserve">  • Sensitivität — Wirkung der wichtigsten Treiber auf EBITDA Jahr 5 und Kapitalbedarf (Base)</t>
        </is>
      </c>
    </row>
    <row r="9">
      <c r="A9" s="2" t="inlineStr">
        <is>
          <t xml:space="preserve">  • Returns — Exit-Szenarien und Investor-Rendite (inkl. Terminalperspektive Jahr 7)</t>
        </is>
      </c>
    </row>
    <row r="11">
      <c r="A11" s="2" t="inlineStr">
        <is>
          <t>Konventionen: Alle Werte in k€ (real, ohne Indexierung). 2026 ist Vorlauf-/Entwicklungsjahr.</t>
        </is>
      </c>
    </row>
    <row r="12">
      <c r="A12" s="2" t="inlineStr">
        <is>
          <t>Eingabezellen sind gelb hinterlegt — Änderungen fließen per Formel durch das gesamte Modell.</t>
        </is>
      </c>
    </row>
    <row r="14">
      <c r="A14" s="2" t="inlineStr">
        <is>
          <t>Evidenzbasis: research/assumptions.md · research/sources.md · research/appendix/ (301 Findings)</t>
        </is>
      </c>
    </row>
    <row r="15">
      <c r="A15" s="2" t="inlineStr">
        <is>
          <t>Regenerierung: python3 scripts/build_financial_model.py</t>
        </is>
      </c>
    </row>
    <row r="16">
      <c r="A16" s="3" t="inlineStr">
        <is>
          <t>Leitprinzip: Substanz vor Optimismus — der Konservativ-Fall ist bewusst ein No-Go-Szenario.</t>
        </is>
      </c>
    </row>
    <row r="17">
      <c r="A17" s="4" t="inlineStr">
        <is>
          <t>Stand: 15.08.2026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0" customWidth="1" min="5" max="5"/>
    <col width="44" customWidth="1" min="6" max="6"/>
  </cols>
  <sheetData>
    <row r="1">
      <c r="A1" s="1" t="inlineStr">
        <is>
          <t>Zentrale Annahmen (Skalare) — Details je Jahr in den Szenario-Sheets</t>
        </is>
      </c>
    </row>
    <row r="3">
      <c r="A3" s="5" t="inlineStr">
        <is>
          <t>Parameter</t>
        </is>
      </c>
      <c r="B3" s="5" t="inlineStr">
        <is>
          <t>Konservativ</t>
        </is>
      </c>
      <c r="C3" s="5" t="inlineStr">
        <is>
          <t>Base</t>
        </is>
      </c>
      <c r="D3" s="5" t="inlineStr">
        <is>
          <t>Upside</t>
        </is>
      </c>
      <c r="E3" s="5" t="inlineStr">
        <is>
          <t>Stufe</t>
        </is>
      </c>
      <c r="F3" s="5" t="inlineStr">
        <is>
          <t>Quelle / Herleitung</t>
        </is>
      </c>
    </row>
    <row r="4">
      <c r="A4" s="2" t="inlineStr">
        <is>
          <t>Verbrauchsmaterial je Maschine/Jahr (k€)</t>
        </is>
      </c>
      <c r="B4" s="6" t="n">
        <v>3</v>
      </c>
      <c r="C4" s="6" t="n">
        <v>5</v>
      </c>
      <c r="D4" s="6" t="n">
        <v>8</v>
      </c>
      <c r="E4" s="2" t="inlineStr">
        <is>
          <t>C/D</t>
        </is>
      </c>
      <c r="F4" s="4" t="inlineStr">
        <is>
          <t>Tinten-/Pastenpreise (NovaCentrix u.a.); akademische Nutzung</t>
        </is>
      </c>
    </row>
    <row r="5">
      <c r="A5" s="2" t="inlineStr">
        <is>
          <t>Bruttomarge Verbrauchsmaterial</t>
        </is>
      </c>
      <c r="B5" s="7" t="n">
        <v>0.55</v>
      </c>
      <c r="C5" s="7" t="n">
        <v>0.6</v>
      </c>
      <c r="D5" s="7" t="n">
        <v>0.65</v>
      </c>
      <c r="E5" s="2" t="inlineStr">
        <is>
          <t>C</t>
        </is>
      </c>
      <c r="F5" s="4" t="inlineStr">
        <is>
          <t>Comps Materialgeschäft 55–75 %</t>
        </is>
      </c>
    </row>
    <row r="6">
      <c r="A6" s="2" t="inlineStr">
        <is>
          <t>Service-Attach-Rate (Bestand)</t>
        </is>
      </c>
      <c r="B6" s="7" t="n">
        <v>0.4</v>
      </c>
      <c r="C6" s="7" t="n">
        <v>0.5</v>
      </c>
      <c r="D6" s="7" t="n">
        <v>0.6</v>
      </c>
      <c r="E6" s="2" t="inlineStr">
        <is>
          <t>C</t>
        </is>
      </c>
      <c r="F6" s="4" t="inlineStr">
        <is>
          <t>Industriestandard Laborgeräte</t>
        </is>
      </c>
    </row>
    <row r="7">
      <c r="A7" s="2" t="inlineStr">
        <is>
          <t>Servicepreis (% vom Listenpreis p.a.)</t>
        </is>
      </c>
      <c r="B7" s="7" t="n">
        <v>0.1</v>
      </c>
      <c r="C7" s="7" t="n">
        <v>0.11</v>
      </c>
      <c r="D7" s="7" t="n">
        <v>0.12</v>
      </c>
      <c r="E7" s="2" t="inlineStr">
        <is>
          <t>C</t>
        </is>
      </c>
      <c r="F7" s="4" t="inlineStr">
        <is>
          <t>Benchmark 10–15 % p.a.</t>
        </is>
      </c>
    </row>
    <row r="8">
      <c r="A8" s="2" t="inlineStr">
        <is>
          <t>Bruttomarge Service</t>
        </is>
      </c>
      <c r="B8" s="7" t="n">
        <v>0.5</v>
      </c>
      <c r="C8" s="7" t="n">
        <v>0.5</v>
      </c>
      <c r="D8" s="7" t="n">
        <v>0.5</v>
      </c>
      <c r="E8" s="2" t="inlineStr">
        <is>
          <t>C</t>
        </is>
      </c>
      <c r="F8" s="4" t="inlineStr">
        <is>
          <t>Comps</t>
        </is>
      </c>
    </row>
    <row r="9">
      <c r="A9" s="2" t="inlineStr">
        <is>
          <t>Software-Abo je Maschine (k€/Jahr)</t>
        </is>
      </c>
      <c r="B9" s="6" t="n">
        <v>1.2</v>
      </c>
      <c r="C9" s="6" t="n">
        <v>1.8</v>
      </c>
      <c r="D9" s="6" t="n">
        <v>2.4</v>
      </c>
      <c r="E9" s="2" t="inlineStr">
        <is>
          <t>C/D</t>
        </is>
      </c>
      <c r="F9" s="4" t="inlineStr">
        <is>
          <t>Benchmarks Eiger/Digital Factory</t>
        </is>
      </c>
    </row>
    <row r="10">
      <c r="A10" s="2" t="inlineStr">
        <is>
          <t>Software-Attach-Rate</t>
        </is>
      </c>
      <c r="B10" s="7" t="n">
        <v>0.5</v>
      </c>
      <c r="C10" s="7" t="n">
        <v>0.6</v>
      </c>
      <c r="D10" s="7" t="n">
        <v>0.7</v>
      </c>
      <c r="E10" s="2" t="inlineStr">
        <is>
          <t>C/D</t>
        </is>
      </c>
      <c r="F10" s="4" t="inlineStr"/>
    </row>
    <row r="11">
      <c r="A11" s="2" t="inlineStr">
        <is>
          <t>Bruttomarge Software</t>
        </is>
      </c>
      <c r="B11" s="7" t="n">
        <v>0.85</v>
      </c>
      <c r="C11" s="7" t="n">
        <v>0.85</v>
      </c>
      <c r="D11" s="7" t="n">
        <v>0.85</v>
      </c>
      <c r="E11" s="2" t="inlineStr">
        <is>
          <t>C</t>
        </is>
      </c>
      <c r="F11" s="4" t="inlineStr"/>
    </row>
    <row r="12">
      <c r="A12" s="2" t="inlineStr">
        <is>
          <t>Kanalanteil ab 2028</t>
        </is>
      </c>
      <c r="B12" s="7" t="n">
        <v>0.25</v>
      </c>
      <c r="C12" s="7" t="n">
        <v>0.25</v>
      </c>
      <c r="D12" s="7" t="n">
        <v>0.25</v>
      </c>
      <c r="E12" s="2" t="inlineStr">
        <is>
          <t>C</t>
        </is>
      </c>
      <c r="F12" s="4" t="inlineStr">
        <is>
          <t>APES/NTV-Kanal existiert; Beachhead primär direkt</t>
        </is>
      </c>
    </row>
    <row r="13">
      <c r="A13" s="2" t="inlineStr">
        <is>
          <t>Distributorenrabatt</t>
        </is>
      </c>
      <c r="B13" s="7" t="n">
        <v>0.3</v>
      </c>
      <c r="C13" s="7" t="n">
        <v>0.3</v>
      </c>
      <c r="D13" s="7" t="n">
        <v>0.3</v>
      </c>
      <c r="E13" s="2" t="inlineStr">
        <is>
          <t>C</t>
        </is>
      </c>
      <c r="F13" s="4" t="inlineStr">
        <is>
          <t>Branche 20–35 %</t>
        </is>
      </c>
    </row>
    <row r="14">
      <c r="A14" s="2" t="inlineStr">
        <is>
          <t>CAC je Direkteinheit (k€)</t>
        </is>
      </c>
      <c r="B14" s="6" t="n">
        <v>12</v>
      </c>
      <c r="C14" s="6" t="n">
        <v>9</v>
      </c>
      <c r="D14" s="6" t="n">
        <v>7</v>
      </c>
      <c r="E14" s="2" t="inlineStr">
        <is>
          <t>C</t>
        </is>
      </c>
      <c r="F14" s="4" t="inlineStr">
        <is>
          <t>10–20 % vom ASP, messe-zentriert</t>
        </is>
      </c>
    </row>
    <row r="15">
      <c r="A15" s="2" t="inlineStr">
        <is>
          <t>FTE-Vollkosten (k€/Jahr)</t>
        </is>
      </c>
      <c r="B15" s="6" t="n">
        <v>95</v>
      </c>
      <c r="C15" s="6" t="n">
        <v>95</v>
      </c>
      <c r="D15" s="6" t="n">
        <v>95</v>
      </c>
      <c r="E15" s="2" t="inlineStr">
        <is>
          <t>B</t>
        </is>
      </c>
      <c r="F15" s="4" t="inlineStr">
        <is>
          <t>Standort Nürnberg, Mischkalkulation</t>
        </is>
      </c>
    </row>
    <row r="16">
      <c r="A16" s="2" t="inlineStr">
        <is>
          <t>Working Capital (% vom Umsatzzuwachs)</t>
        </is>
      </c>
      <c r="B16" s="7" t="n">
        <v>0.15</v>
      </c>
      <c r="C16" s="7" t="n">
        <v>0.12</v>
      </c>
      <c r="D16" s="7" t="n">
        <v>0.1</v>
      </c>
      <c r="E16" s="2" t="inlineStr">
        <is>
          <t>C</t>
        </is>
      </c>
      <c r="F16" s="4" t="inlineStr">
        <is>
          <t>Lager + Forderungen − Verbindlichkeiten</t>
        </is>
      </c>
    </row>
    <row r="17">
      <c r="A17" s="2" t="inlineStr">
        <is>
          <t>Exit-Multiple (x Umsatz Jahr 5)</t>
        </is>
      </c>
      <c r="B17" s="8" t="n">
        <v>1</v>
      </c>
      <c r="C17" s="8" t="n">
        <v>2</v>
      </c>
      <c r="D17" s="8" t="n">
        <v>3</v>
      </c>
      <c r="E17" s="2" t="inlineStr">
        <is>
          <t>C</t>
        </is>
      </c>
      <c r="F17" s="4" t="inlineStr">
        <is>
          <t>Niche-HW-Comps: Markforged ~1,2x; Razor-Blade 2–4x</t>
        </is>
      </c>
    </row>
    <row r="18">
      <c r="A18" s="2" t="inlineStr">
        <is>
          <t>Investorenanteil nach allen Tranchen</t>
        </is>
      </c>
      <c r="B18" s="7" t="n">
        <v>0.6</v>
      </c>
      <c r="C18" s="7" t="n">
        <v>0.55</v>
      </c>
      <c r="D18" s="7" t="n">
        <v>0.5</v>
      </c>
      <c r="E18" s="2" t="inlineStr">
        <is>
          <t>D</t>
        </is>
      </c>
      <c r="F18" s="4" t="inlineStr">
        <is>
          <t>Verhandlungsannahme, tranchiert</t>
        </is>
      </c>
    </row>
    <row r="19">
      <c r="A19" s="2" t="inlineStr">
        <is>
          <t>Bruttomarge Applikationsservices</t>
        </is>
      </c>
      <c r="B19" s="7" t="n">
        <v>0.45</v>
      </c>
      <c r="C19" s="7" t="n">
        <v>0.45</v>
      </c>
      <c r="D19" s="7" t="n">
        <v>0.45</v>
      </c>
      <c r="E19" s="2" t="inlineStr">
        <is>
          <t>C</t>
        </is>
      </c>
      <c r="F19" s="4" t="inlineStr">
        <is>
          <t>PoC-Studien/NRE — Teil des heutigen KRONOS-Modells</t>
        </is>
      </c>
    </row>
    <row r="21">
      <c r="A21" s="4" t="inlineStr">
        <is>
          <t>Hinweis: Jahresreihen (Stückzahlen, ASP, COGS-%, FTE, Opex, Grants, Capex) stehen als gelbe Eingabezeilen in den Szenario-Sheets.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KRONOS Eos — Szenario Konservativ</t>
        </is>
      </c>
    </row>
    <row r="2"/>
    <row r="3">
      <c r="A3" s="5" t="inlineStr">
        <is>
          <t>Position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2029</t>
        </is>
      </c>
      <c r="F3" s="5" t="inlineStr">
        <is>
          <t>2030</t>
        </is>
      </c>
      <c r="G3" s="5" t="inlineStr">
        <is>
          <t>2031</t>
        </is>
      </c>
      <c r="H3" s="5" t="inlineStr">
        <is>
          <t>Notiz</t>
        </is>
      </c>
    </row>
    <row r="4">
      <c r="A4" s="9" t="inlineStr">
        <is>
          <t>EINGABEN (gelb = editierbar)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2" t="inlineStr">
        <is>
          <t>Verkaufte Einheiten</t>
        </is>
      </c>
      <c r="B5" s="11" t="n">
        <v>0</v>
      </c>
      <c r="C5" s="11" t="n">
        <v>8</v>
      </c>
      <c r="D5" s="11" t="n">
        <v>20</v>
      </c>
      <c r="E5" s="11" t="n">
        <v>35</v>
      </c>
      <c r="F5" s="11" t="n">
        <v>50</v>
      </c>
      <c r="G5" s="11" t="n">
        <v>65</v>
      </c>
      <c r="H5" s="4" t="inlineStr">
        <is>
          <t>D — Validierungsziel V1/V2</t>
        </is>
      </c>
    </row>
    <row r="6">
      <c r="A6" s="2" t="inlineStr">
        <is>
          <t>Applikationsprojekte/NRE (Umsatz)</t>
        </is>
      </c>
      <c r="B6" s="12" t="n">
        <v>0</v>
      </c>
      <c r="C6" s="12" t="n">
        <v>200</v>
      </c>
      <c r="D6" s="12" t="n">
        <v>300</v>
      </c>
      <c r="E6" s="12" t="n">
        <v>400</v>
      </c>
      <c r="F6" s="12" t="n">
        <v>450</v>
      </c>
      <c r="G6" s="12" t="n">
        <v>500</v>
      </c>
      <c r="H6" s="4" t="inlineStr">
        <is>
          <t>PoC-Studien, Prozessintegration — heutiges KRONOS-Geschäft</t>
        </is>
      </c>
    </row>
    <row r="7">
      <c r="A7" s="2" t="inlineStr">
        <is>
          <t>Listenpreis blended (k€)</t>
        </is>
      </c>
      <c r="B7" s="13" t="n">
        <v>0</v>
      </c>
      <c r="C7" s="13" t="n">
        <v>55</v>
      </c>
      <c r="D7" s="13" t="n">
        <v>57</v>
      </c>
      <c r="E7" s="13" t="n">
        <v>58</v>
      </c>
      <c r="F7" s="13" t="n">
        <v>59</v>
      </c>
      <c r="G7" s="13" t="n">
        <v>60</v>
      </c>
      <c r="H7" s="4" t="inlineStr">
        <is>
          <t>Mix Eos One/Five/Max ≈ 25/55/20 %; 2027 = Pilotpreise</t>
        </is>
      </c>
    </row>
    <row r="8">
      <c r="A8" s="2" t="inlineStr">
        <is>
          <t>Maschinen-COGS (% v. Liste)</t>
        </is>
      </c>
      <c r="B8" s="7" t="n">
        <v>0</v>
      </c>
      <c r="C8" s="7" t="n">
        <v>0.6</v>
      </c>
      <c r="D8" s="7" t="n">
        <v>0.58</v>
      </c>
      <c r="E8" s="7" t="n">
        <v>0.5600000000000001</v>
      </c>
      <c r="F8" s="7" t="n">
        <v>0.54</v>
      </c>
      <c r="G8" s="7" t="n">
        <v>0.52</v>
      </c>
      <c r="H8" s="4" t="inlineStr">
        <is>
          <t>C — BOM-These, Gate V3</t>
        </is>
      </c>
    </row>
    <row r="9">
      <c r="A9" s="2" t="inlineStr">
        <is>
          <t>FTE</t>
        </is>
      </c>
      <c r="B9" s="11" t="n">
        <v>7</v>
      </c>
      <c r="C9" s="11" t="n">
        <v>10</v>
      </c>
      <c r="D9" s="11" t="n">
        <v>12</v>
      </c>
      <c r="E9" s="11" t="n">
        <v>14</v>
      </c>
      <c r="F9" s="11" t="n">
        <v>15</v>
      </c>
      <c r="G9" s="11" t="n">
        <v>16</v>
      </c>
    </row>
    <row r="10">
      <c r="A10" s="2" t="inlineStr">
        <is>
          <t>Entwicklung (Sachkosten)</t>
        </is>
      </c>
      <c r="B10" s="12" t="n">
        <v>500</v>
      </c>
      <c r="C10" s="12" t="n">
        <v>550</v>
      </c>
      <c r="D10" s="12" t="n">
        <v>350</v>
      </c>
      <c r="E10" s="12" t="n">
        <v>250</v>
      </c>
      <c r="F10" s="12" t="n">
        <v>200</v>
      </c>
      <c r="G10" s="12" t="n">
        <v>200</v>
      </c>
      <c r="H10" s="4" t="inlineStr">
        <is>
          <t>Plattform-Derivat aus Helios-Technik</t>
        </is>
      </c>
    </row>
    <row r="11">
      <c r="A11" s="2" t="inlineStr">
        <is>
          <t>Zertifizierung (CE/UL)</t>
        </is>
      </c>
      <c r="B11" s="12" t="n">
        <v>0</v>
      </c>
      <c r="C11" s="12" t="n">
        <v>150</v>
      </c>
      <c r="D11" s="12" t="n">
        <v>0</v>
      </c>
      <c r="E11" s="12" t="n">
        <v>0</v>
      </c>
      <c r="F11" s="12" t="n">
        <v>0</v>
      </c>
      <c r="G11" s="12" t="n">
        <v>0</v>
      </c>
    </row>
    <row r="12">
      <c r="A12" s="2" t="inlineStr">
        <is>
          <t>Marketing &amp; Messen</t>
        </is>
      </c>
      <c r="B12" s="12" t="n">
        <v>80</v>
      </c>
      <c r="C12" s="12" t="n">
        <v>300</v>
      </c>
      <c r="D12" s="12" t="n">
        <v>400</v>
      </c>
      <c r="E12" s="12" t="n">
        <v>450</v>
      </c>
      <c r="F12" s="12" t="n">
        <v>450</v>
      </c>
      <c r="G12" s="12" t="n">
        <v>450</v>
      </c>
      <c r="H12" s="4" t="inlineStr">
        <is>
          <t>LOPEC, productronica, electronica, Formnext</t>
        </is>
      </c>
    </row>
    <row r="13">
      <c r="A13" s="2" t="inlineStr">
        <is>
          <t>G&amp;A (Sachkosten)</t>
        </is>
      </c>
      <c r="B13" s="12" t="n">
        <v>120</v>
      </c>
      <c r="C13" s="12" t="n">
        <v>250</v>
      </c>
      <c r="D13" s="12" t="n">
        <v>300</v>
      </c>
      <c r="E13" s="12" t="n">
        <v>330</v>
      </c>
      <c r="F13" s="12" t="n">
        <v>350</v>
      </c>
      <c r="G13" s="12" t="n">
        <v>350</v>
      </c>
    </row>
    <row r="14">
      <c r="A14" s="2" t="inlineStr">
        <is>
          <t>Fördermittel (Zufluss)</t>
        </is>
      </c>
      <c r="B14" s="12" t="n">
        <v>250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4" t="inlineStr">
        <is>
          <t>ZIM/Bayern; Upside inkl. EIC 2,5 M€</t>
        </is>
      </c>
    </row>
    <row r="15">
      <c r="A15" s="2" t="inlineStr">
        <is>
          <t>Capex (inkl. Tooling, Demoflotte)</t>
        </is>
      </c>
      <c r="B15" s="12" t="n">
        <v>200</v>
      </c>
      <c r="C15" s="12" t="n">
        <v>500</v>
      </c>
      <c r="D15" s="12" t="n">
        <v>350</v>
      </c>
      <c r="E15" s="12" t="n">
        <v>300</v>
      </c>
      <c r="F15" s="12" t="n">
        <v>300</v>
      </c>
      <c r="G15" s="12" t="n">
        <v>300</v>
      </c>
    </row>
    <row r="16"/>
    <row r="17">
      <c r="A17" s="9" t="inlineStr">
        <is>
          <t>INSTALLIERTE BASIS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3" t="inlineStr">
        <is>
          <t>Kumulierte Basis (Jahresende)</t>
        </is>
      </c>
      <c r="B18" s="14">
        <f>B5</f>
        <v/>
      </c>
      <c r="C18" s="14">
        <f>B18+C5</f>
        <v/>
      </c>
      <c r="D18" s="14">
        <f>C18+D5</f>
        <v/>
      </c>
      <c r="E18" s="14">
        <f>D18+E5</f>
        <v/>
      </c>
      <c r="F18" s="14">
        <f>E18+F5</f>
        <v/>
      </c>
      <c r="G18" s="14">
        <f>F18+G5</f>
        <v/>
      </c>
    </row>
    <row r="19">
      <c r="A19" s="2" t="inlineStr">
        <is>
          <t>Ø aktive Basis (Jahresmittel)</t>
        </is>
      </c>
      <c r="B19" s="15">
        <f>(0+B18)/2</f>
        <v/>
      </c>
      <c r="C19" s="15">
        <f>(B18+C18)/2</f>
        <v/>
      </c>
      <c r="D19" s="15">
        <f>(C18+D18)/2</f>
        <v/>
      </c>
      <c r="E19" s="15">
        <f>(D18+E18)/2</f>
        <v/>
      </c>
      <c r="F19" s="15">
        <f>(E18+F18)/2</f>
        <v/>
      </c>
      <c r="G19" s="15">
        <f>(F18+G18)/2</f>
        <v/>
      </c>
    </row>
    <row r="20">
      <c r="A20" s="2" t="inlineStr">
        <is>
          <t>Servicefähige Basis (Vorjahresbestand)</t>
        </is>
      </c>
      <c r="B20" s="15">
        <f>0</f>
        <v/>
      </c>
      <c r="C20" s="15">
        <f>B18</f>
        <v/>
      </c>
      <c r="D20" s="15">
        <f>C18</f>
        <v/>
      </c>
      <c r="E20" s="15">
        <f>D18</f>
        <v/>
      </c>
      <c r="F20" s="15">
        <f>E18</f>
        <v/>
      </c>
      <c r="G20" s="15">
        <f>F18</f>
        <v/>
      </c>
    </row>
    <row r="21"/>
    <row r="22">
      <c r="A22" s="9" t="inlineStr">
        <is>
          <t>UMSATZ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2" t="inlineStr">
        <is>
          <t>Maschinenumsatz</t>
        </is>
      </c>
      <c r="B23" s="16">
        <f>B5*B7</f>
        <v/>
      </c>
      <c r="C23" s="16">
        <f>C5*C7</f>
        <v/>
      </c>
      <c r="D23" s="16">
        <f>D5*D7*(1-Annahmen!$B$12*Annahmen!$B$13)</f>
        <v/>
      </c>
      <c r="E23" s="16">
        <f>E5*E7*(1-Annahmen!$B$12*Annahmen!$B$13)</f>
        <v/>
      </c>
      <c r="F23" s="16">
        <f>F5*F7*(1-Annahmen!$B$12*Annahmen!$B$13)</f>
        <v/>
      </c>
      <c r="G23" s="16">
        <f>G5*G7*(1-Annahmen!$B$12*Annahmen!$B$13)</f>
        <v/>
      </c>
      <c r="H23" s="4" t="inlineStr">
        <is>
          <t>ab 2028 Kanalmix mit Distributorenrabatt</t>
        </is>
      </c>
    </row>
    <row r="24">
      <c r="A24" s="2" t="inlineStr">
        <is>
          <t>Verbrauchsmaterial</t>
        </is>
      </c>
      <c r="B24" s="16">
        <f>B19*Annahmen!$B$4</f>
        <v/>
      </c>
      <c r="C24" s="16">
        <f>C19*Annahmen!$B$4</f>
        <v/>
      </c>
      <c r="D24" s="16">
        <f>D19*Annahmen!$B$4</f>
        <v/>
      </c>
      <c r="E24" s="16">
        <f>E19*Annahmen!$B$4</f>
        <v/>
      </c>
      <c r="F24" s="16">
        <f>F19*Annahmen!$B$4</f>
        <v/>
      </c>
      <c r="G24" s="16">
        <f>G19*Annahmen!$B$4</f>
        <v/>
      </c>
    </row>
    <row r="25">
      <c r="A25" s="2" t="inlineStr">
        <is>
          <t>Service &amp; Wartung</t>
        </is>
      </c>
      <c r="B25" s="16">
        <f>B20*Annahmen!$B$6*Annahmen!$B$7*B7</f>
        <v/>
      </c>
      <c r="C25" s="16">
        <f>C20*Annahmen!$B$6*Annahmen!$B$7*C7</f>
        <v/>
      </c>
      <c r="D25" s="16">
        <f>D20*Annahmen!$B$6*Annahmen!$B$7*D7</f>
        <v/>
      </c>
      <c r="E25" s="16">
        <f>E20*Annahmen!$B$6*Annahmen!$B$7*E7</f>
        <v/>
      </c>
      <c r="F25" s="16">
        <f>F20*Annahmen!$B$6*Annahmen!$B$7*F7</f>
        <v/>
      </c>
      <c r="G25" s="16">
        <f>G20*Annahmen!$B$6*Annahmen!$B$7*G7</f>
        <v/>
      </c>
    </row>
    <row r="26">
      <c r="A26" s="2" t="inlineStr">
        <is>
          <t>Software (Aion-5X Abo)</t>
        </is>
      </c>
      <c r="B26" s="16">
        <f>B19*Annahmen!$B$10*Annahmen!$B$9</f>
        <v/>
      </c>
      <c r="C26" s="16">
        <f>C19*Annahmen!$B$10*Annahmen!$B$9</f>
        <v/>
      </c>
      <c r="D26" s="16">
        <f>D19*Annahmen!$B$10*Annahmen!$B$9</f>
        <v/>
      </c>
      <c r="E26" s="16">
        <f>E19*Annahmen!$B$10*Annahmen!$B$9</f>
        <v/>
      </c>
      <c r="F26" s="16">
        <f>F19*Annahmen!$B$10*Annahmen!$B$9</f>
        <v/>
      </c>
      <c r="G26" s="16">
        <f>G19*Annahmen!$B$10*Annahmen!$B$9</f>
        <v/>
      </c>
    </row>
    <row r="27">
      <c r="A27" s="2" t="inlineStr">
        <is>
          <t>Applikationsprojekte/NRE</t>
        </is>
      </c>
      <c r="B27" s="16">
        <f>B6</f>
        <v/>
      </c>
      <c r="C27" s="16">
        <f>C6</f>
        <v/>
      </c>
      <c r="D27" s="16">
        <f>D6</f>
        <v/>
      </c>
      <c r="E27" s="16">
        <f>E6</f>
        <v/>
      </c>
      <c r="F27" s="16">
        <f>F6</f>
        <v/>
      </c>
      <c r="G27" s="16">
        <f>G6</f>
        <v/>
      </c>
    </row>
    <row r="28">
      <c r="A28" s="3" t="inlineStr">
        <is>
          <t>Gesamtumsatz</t>
        </is>
      </c>
      <c r="B28" s="17">
        <f>SUM(B23:B27)</f>
        <v/>
      </c>
      <c r="C28" s="17">
        <f>SUM(C23:C27)</f>
        <v/>
      </c>
      <c r="D28" s="17">
        <f>SUM(D23:D27)</f>
        <v/>
      </c>
      <c r="E28" s="17">
        <f>SUM(E23:E27)</f>
        <v/>
      </c>
      <c r="F28" s="17">
        <f>SUM(F23:F27)</f>
        <v/>
      </c>
      <c r="G28" s="17">
        <f>SUM(G23:G27)</f>
        <v/>
      </c>
    </row>
    <row r="29"/>
    <row r="30">
      <c r="A30" s="9" t="inlineStr">
        <is>
          <t>BRUTTOERGEBNIS</t>
        </is>
      </c>
      <c r="B30" s="10" t="n"/>
      <c r="C30" s="10" t="n"/>
      <c r="D30" s="10" t="n"/>
      <c r="E30" s="10" t="n"/>
      <c r="F30" s="10" t="n"/>
      <c r="G30" s="10" t="n"/>
      <c r="H30" s="10" t="n"/>
    </row>
    <row r="31">
      <c r="A31" s="2" t="inlineStr">
        <is>
          <t>COGS Maschinen</t>
        </is>
      </c>
      <c r="B31" s="16">
        <f>B5*B7*B8</f>
        <v/>
      </c>
      <c r="C31" s="16">
        <f>C5*C7*C8</f>
        <v/>
      </c>
      <c r="D31" s="16">
        <f>D5*D7*D8</f>
        <v/>
      </c>
      <c r="E31" s="16">
        <f>E5*E7*E8</f>
        <v/>
      </c>
      <c r="F31" s="16">
        <f>F5*F7*F8</f>
        <v/>
      </c>
      <c r="G31" s="16">
        <f>G5*G7*G8</f>
        <v/>
      </c>
    </row>
    <row r="32">
      <c r="A32" s="3" t="inlineStr">
        <is>
          <t>Bruttoergebnis</t>
        </is>
      </c>
      <c r="B32" s="18">
        <f>B23-B31+B24*Annahmen!$B$5+B25*Annahmen!$B$8+B26*Annahmen!$B$11+B27*Annahmen!$B$19</f>
        <v/>
      </c>
      <c r="C32" s="18">
        <f>C23-C31+C24*Annahmen!$B$5+C25*Annahmen!$B$8+C26*Annahmen!$B$11+C27*Annahmen!$B$19</f>
        <v/>
      </c>
      <c r="D32" s="18">
        <f>D23-D31+D24*Annahmen!$B$5+D25*Annahmen!$B$8+D26*Annahmen!$B$11+D27*Annahmen!$B$19</f>
        <v/>
      </c>
      <c r="E32" s="18">
        <f>E23-E31+E24*Annahmen!$B$5+E25*Annahmen!$B$8+E26*Annahmen!$B$11+E27*Annahmen!$B$19</f>
        <v/>
      </c>
      <c r="F32" s="18">
        <f>F23-F31+F24*Annahmen!$B$5+F25*Annahmen!$B$8+F26*Annahmen!$B$11+F27*Annahmen!$B$19</f>
        <v/>
      </c>
      <c r="G32" s="18">
        <f>G23-G31+G24*Annahmen!$B$5+G25*Annahmen!$B$8+G26*Annahmen!$B$11+G27*Annahmen!$B$19</f>
        <v/>
      </c>
    </row>
    <row r="33">
      <c r="A33" s="2" t="inlineStr">
        <is>
          <t>Bruttomarge %</t>
        </is>
      </c>
      <c r="B33" s="19">
        <f>IF(B28=0,0,B32/B28)</f>
        <v/>
      </c>
      <c r="C33" s="19">
        <f>IF(C28=0,0,C32/C28)</f>
        <v/>
      </c>
      <c r="D33" s="19">
        <f>IF(D28=0,0,D32/D28)</f>
        <v/>
      </c>
      <c r="E33" s="19">
        <f>IF(E28=0,0,E32/E28)</f>
        <v/>
      </c>
      <c r="F33" s="19">
        <f>IF(F28=0,0,F32/F28)</f>
        <v/>
      </c>
      <c r="G33" s="19">
        <f>IF(G28=0,0,G32/G28)</f>
        <v/>
      </c>
    </row>
    <row r="34"/>
    <row r="35">
      <c r="A35" s="9" t="inlineStr">
        <is>
          <t>OPERATIVE KOSTEN</t>
        </is>
      </c>
      <c r="B35" s="10" t="n"/>
      <c r="C35" s="10" t="n"/>
      <c r="D35" s="10" t="n"/>
      <c r="E35" s="10" t="n"/>
      <c r="F35" s="10" t="n"/>
      <c r="G35" s="10" t="n"/>
      <c r="H35" s="10" t="n"/>
    </row>
    <row r="36">
      <c r="A36" s="2" t="inlineStr">
        <is>
          <t>Personal</t>
        </is>
      </c>
      <c r="B36" s="16">
        <f>B9*Annahmen!$B$15</f>
        <v/>
      </c>
      <c r="C36" s="16">
        <f>C9*Annahmen!$B$15</f>
        <v/>
      </c>
      <c r="D36" s="16">
        <f>D9*Annahmen!$B$15</f>
        <v/>
      </c>
      <c r="E36" s="16">
        <f>E9*Annahmen!$B$15</f>
        <v/>
      </c>
      <c r="F36" s="16">
        <f>F9*Annahmen!$B$15</f>
        <v/>
      </c>
      <c r="G36" s="16">
        <f>G9*Annahmen!$B$15</f>
        <v/>
      </c>
    </row>
    <row r="37">
      <c r="A37" s="2" t="inlineStr">
        <is>
          <t>Variabler Vertrieb (CAC direkt)</t>
        </is>
      </c>
      <c r="B37" s="16">
        <f>B5*Annahmen!$B$14</f>
        <v/>
      </c>
      <c r="C37" s="16">
        <f>C5*Annahmen!$B$14</f>
        <v/>
      </c>
      <c r="D37" s="16">
        <f>D5*(1-Annahmen!$B$12)*Annahmen!$B$14</f>
        <v/>
      </c>
      <c r="E37" s="16">
        <f>E5*(1-Annahmen!$B$12)*Annahmen!$B$14</f>
        <v/>
      </c>
      <c r="F37" s="16">
        <f>F5*(1-Annahmen!$B$12)*Annahmen!$B$14</f>
        <v/>
      </c>
      <c r="G37" s="16">
        <f>G5*(1-Annahmen!$B$12)*Annahmen!$B$14</f>
        <v/>
      </c>
    </row>
    <row r="38">
      <c r="A38" s="3" t="inlineStr">
        <is>
          <t>Opex gesamt</t>
        </is>
      </c>
      <c r="B38" s="18">
        <f>B36+B37+B10+B11+B12+B13</f>
        <v/>
      </c>
      <c r="C38" s="18">
        <f>C36+C37+C10+C11+C12+C13</f>
        <v/>
      </c>
      <c r="D38" s="18">
        <f>D36+D37+D10+D11+D12+D13</f>
        <v/>
      </c>
      <c r="E38" s="18">
        <f>E36+E37+E10+E11+E12+E13</f>
        <v/>
      </c>
      <c r="F38" s="18">
        <f>F36+F37+F10+F11+F12+F13</f>
        <v/>
      </c>
      <c r="G38" s="18">
        <f>G36+G37+G10+G11+G12+G13</f>
        <v/>
      </c>
    </row>
    <row r="39"/>
    <row r="40">
      <c r="A40" s="9" t="inlineStr">
        <is>
          <t>ERGEBNIS &amp; LIQUIDITÄT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>
      <c r="A41" s="3" t="inlineStr">
        <is>
          <t>EBITDA (inkl. Fördermittel)</t>
        </is>
      </c>
      <c r="B41" s="17">
        <f>B32-B38+B14</f>
        <v/>
      </c>
      <c r="C41" s="17">
        <f>C32-C38+C14</f>
        <v/>
      </c>
      <c r="D41" s="17">
        <f>D32-D38+D14</f>
        <v/>
      </c>
      <c r="E41" s="17">
        <f>E32-E38+E14</f>
        <v/>
      </c>
      <c r="F41" s="17">
        <f>F32-F38+F14</f>
        <v/>
      </c>
      <c r="G41" s="17">
        <f>G32-G38+G14</f>
        <v/>
      </c>
    </row>
    <row r="42">
      <c r="A42" s="2" t="inlineStr">
        <is>
          <t>EBITDA-Marge %</t>
        </is>
      </c>
      <c r="B42" s="20">
        <f>IF(B28=0,0,B41/B28)</f>
        <v/>
      </c>
      <c r="C42" s="20">
        <f>IF(C28=0,0,C41/C28)</f>
        <v/>
      </c>
      <c r="D42" s="20">
        <f>IF(D28=0,0,D41/D28)</f>
        <v/>
      </c>
      <c r="E42" s="20">
        <f>IF(E28=0,0,E41/E28)</f>
        <v/>
      </c>
      <c r="F42" s="20">
        <f>IF(F28=0,0,F41/F28)</f>
        <v/>
      </c>
      <c r="G42" s="20">
        <f>IF(G28=0,0,G41/G28)</f>
        <v/>
      </c>
    </row>
    <row r="43">
      <c r="A43" s="2" t="inlineStr">
        <is>
          <t>Δ Working Capital</t>
        </is>
      </c>
      <c r="B43" s="16">
        <f>MAX(0,(B28-0)*Annahmen!$B$16)</f>
        <v/>
      </c>
      <c r="C43" s="16">
        <f>MAX(0,(C28-B28)*Annahmen!$B$16)</f>
        <v/>
      </c>
      <c r="D43" s="16">
        <f>MAX(0,(D28-C28)*Annahmen!$B$16)</f>
        <v/>
      </c>
      <c r="E43" s="16">
        <f>MAX(0,(E28-D28)*Annahmen!$B$16)</f>
        <v/>
      </c>
      <c r="F43" s="16">
        <f>MAX(0,(F28-E28)*Annahmen!$B$16)</f>
        <v/>
      </c>
      <c r="G43" s="16">
        <f>MAX(0,(G28-F28)*Annahmen!$B$16)</f>
        <v/>
      </c>
    </row>
    <row r="44">
      <c r="A44" s="3" t="inlineStr">
        <is>
          <t>Free Cash Flow</t>
        </is>
      </c>
      <c r="B44" s="18">
        <f>B41-B15-B43</f>
        <v/>
      </c>
      <c r="C44" s="18">
        <f>C41-C15-C43</f>
        <v/>
      </c>
      <c r="D44" s="18">
        <f>D41-D15-D43</f>
        <v/>
      </c>
      <c r="E44" s="18">
        <f>E41-E15-E43</f>
        <v/>
      </c>
      <c r="F44" s="18">
        <f>F41-F15-F43</f>
        <v/>
      </c>
      <c r="G44" s="18">
        <f>G41-G15-G43</f>
        <v/>
      </c>
    </row>
    <row r="45">
      <c r="A45" s="2" t="inlineStr">
        <is>
          <t>Kumulierter Cash Flow</t>
        </is>
      </c>
      <c r="B45" s="21">
        <f>B44</f>
        <v/>
      </c>
      <c r="C45" s="21">
        <f>B45+C44</f>
        <v/>
      </c>
      <c r="D45" s="21">
        <f>C45+D44</f>
        <v/>
      </c>
      <c r="E45" s="21">
        <f>D45+E44</f>
        <v/>
      </c>
      <c r="F45" s="21">
        <f>E45+F44</f>
        <v/>
      </c>
      <c r="G45" s="21">
        <f>F45+G44</f>
        <v/>
      </c>
    </row>
    <row r="46"/>
    <row r="47">
      <c r="A47" s="9" t="inlineStr">
        <is>
          <t>KENNZAHLEN</t>
        </is>
      </c>
      <c r="B47" s="10" t="n"/>
      <c r="C47" s="10" t="n"/>
      <c r="D47" s="10" t="n"/>
      <c r="E47" s="10" t="n"/>
      <c r="F47" s="10" t="n"/>
      <c r="G47" s="10" t="n"/>
      <c r="H47" s="10" t="n"/>
    </row>
    <row r="48">
      <c r="A48" s="3" t="inlineStr">
        <is>
          <t>Kapitalbedarf brutto (max. Cash-Tal, +15 % Puffer)</t>
        </is>
      </c>
      <c r="B48" s="17">
        <f>-MIN(B45:G45)*1.15</f>
        <v/>
      </c>
    </row>
    <row r="49">
      <c r="A49" s="3" t="inlineStr">
        <is>
          <t>Break-even-Jahr (EBITDA ≥ 0)</t>
        </is>
      </c>
      <c r="B49" s="22">
        <f>IF(MAX(B41:G41)&lt;0,"n. e.",MIN(IF(B41:G41&gt;=0,{2026,2027,2028,2029,2030,2031})))</f>
        <v/>
      </c>
    </row>
    <row r="50"/>
    <row r="51">
      <c r="A51" s="4" t="inlineStr">
        <is>
          <t>Zeilenreferenzen: siehe 'Szenariovergleich' und 'Returns'.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KRONOS Eos — Szenario Base</t>
        </is>
      </c>
    </row>
    <row r="2"/>
    <row r="3">
      <c r="A3" s="5" t="inlineStr">
        <is>
          <t>Position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2029</t>
        </is>
      </c>
      <c r="F3" s="5" t="inlineStr">
        <is>
          <t>2030</t>
        </is>
      </c>
      <c r="G3" s="5" t="inlineStr">
        <is>
          <t>2031</t>
        </is>
      </c>
      <c r="H3" s="5" t="inlineStr">
        <is>
          <t>Notiz</t>
        </is>
      </c>
    </row>
    <row r="4">
      <c r="A4" s="9" t="inlineStr">
        <is>
          <t>EINGABEN (gelb = editierbar)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2" t="inlineStr">
        <is>
          <t>Verkaufte Einheiten</t>
        </is>
      </c>
      <c r="B5" s="11" t="n">
        <v>0</v>
      </c>
      <c r="C5" s="11" t="n">
        <v>12</v>
      </c>
      <c r="D5" s="11" t="n">
        <v>35</v>
      </c>
      <c r="E5" s="11" t="n">
        <v>75</v>
      </c>
      <c r="F5" s="11" t="n">
        <v>130</v>
      </c>
      <c r="G5" s="11" t="n">
        <v>200</v>
      </c>
      <c r="H5" s="4" t="inlineStr">
        <is>
          <t>D — Validierungsziel V1/V2</t>
        </is>
      </c>
    </row>
    <row r="6">
      <c r="A6" s="2" t="inlineStr">
        <is>
          <t>Applikationsprojekte/NRE (Umsatz)</t>
        </is>
      </c>
      <c r="B6" s="12" t="n">
        <v>0</v>
      </c>
      <c r="C6" s="12" t="n">
        <v>300</v>
      </c>
      <c r="D6" s="12" t="n">
        <v>500</v>
      </c>
      <c r="E6" s="12" t="n">
        <v>800</v>
      </c>
      <c r="F6" s="12" t="n">
        <v>1000</v>
      </c>
      <c r="G6" s="12" t="n">
        <v>1200</v>
      </c>
      <c r="H6" s="4" t="inlineStr">
        <is>
          <t>PoC-Studien, Prozessintegration — heutiges KRONOS-Geschäft</t>
        </is>
      </c>
    </row>
    <row r="7">
      <c r="A7" s="2" t="inlineStr">
        <is>
          <t>Listenpreis blended (k€)</t>
        </is>
      </c>
      <c r="B7" s="13" t="n">
        <v>0</v>
      </c>
      <c r="C7" s="13" t="n">
        <v>52</v>
      </c>
      <c r="D7" s="13" t="n">
        <v>60</v>
      </c>
      <c r="E7" s="13" t="n">
        <v>62</v>
      </c>
      <c r="F7" s="13" t="n">
        <v>63</v>
      </c>
      <c r="G7" s="13" t="n">
        <v>63.5</v>
      </c>
      <c r="H7" s="4" t="inlineStr">
        <is>
          <t>Mix Eos One/Five/Max ≈ 25/55/20 %; 2027 = Pilotpreise</t>
        </is>
      </c>
    </row>
    <row r="8">
      <c r="A8" s="2" t="inlineStr">
        <is>
          <t>Maschinen-COGS (% v. Liste)</t>
        </is>
      </c>
      <c r="B8" s="7" t="n">
        <v>0</v>
      </c>
      <c r="C8" s="7" t="n">
        <v>0.58</v>
      </c>
      <c r="D8" s="7" t="n">
        <v>0.55</v>
      </c>
      <c r="E8" s="7" t="n">
        <v>0.52</v>
      </c>
      <c r="F8" s="7" t="n">
        <v>0.5</v>
      </c>
      <c r="G8" s="7" t="n">
        <v>0.48</v>
      </c>
      <c r="H8" s="4" t="inlineStr">
        <is>
          <t>C — BOM-These, Gate V3</t>
        </is>
      </c>
    </row>
    <row r="9">
      <c r="A9" s="2" t="inlineStr">
        <is>
          <t>FTE</t>
        </is>
      </c>
      <c r="B9" s="11" t="n">
        <v>8</v>
      </c>
      <c r="C9" s="11" t="n">
        <v>13</v>
      </c>
      <c r="D9" s="11" t="n">
        <v>19</v>
      </c>
      <c r="E9" s="11" t="n">
        <v>26</v>
      </c>
      <c r="F9" s="11" t="n">
        <v>32</v>
      </c>
      <c r="G9" s="11" t="n">
        <v>38</v>
      </c>
    </row>
    <row r="10">
      <c r="A10" s="2" t="inlineStr">
        <is>
          <t>Entwicklung (Sachkosten)</t>
        </is>
      </c>
      <c r="B10" s="12" t="n">
        <v>500</v>
      </c>
      <c r="C10" s="12" t="n">
        <v>600</v>
      </c>
      <c r="D10" s="12" t="n">
        <v>400</v>
      </c>
      <c r="E10" s="12" t="n">
        <v>300</v>
      </c>
      <c r="F10" s="12" t="n">
        <v>300</v>
      </c>
      <c r="G10" s="12" t="n">
        <v>300</v>
      </c>
      <c r="H10" s="4" t="inlineStr">
        <is>
          <t>Plattform-Derivat aus Helios-Technik</t>
        </is>
      </c>
    </row>
    <row r="11">
      <c r="A11" s="2" t="inlineStr">
        <is>
          <t>Zertifizierung (CE/UL)</t>
        </is>
      </c>
      <c r="B11" s="12" t="n">
        <v>0</v>
      </c>
      <c r="C11" s="12" t="n">
        <v>150</v>
      </c>
      <c r="D11" s="12" t="n">
        <v>0</v>
      </c>
      <c r="E11" s="12" t="n">
        <v>0</v>
      </c>
      <c r="F11" s="12" t="n">
        <v>0</v>
      </c>
      <c r="G11" s="12" t="n">
        <v>0</v>
      </c>
    </row>
    <row r="12">
      <c r="A12" s="2" t="inlineStr">
        <is>
          <t>Marketing &amp; Messen</t>
        </is>
      </c>
      <c r="B12" s="12" t="n">
        <v>100</v>
      </c>
      <c r="C12" s="12" t="n">
        <v>350</v>
      </c>
      <c r="D12" s="12" t="n">
        <v>500</v>
      </c>
      <c r="E12" s="12" t="n">
        <v>700</v>
      </c>
      <c r="F12" s="12" t="n">
        <v>900</v>
      </c>
      <c r="G12" s="12" t="n">
        <v>1000</v>
      </c>
      <c r="H12" s="4" t="inlineStr">
        <is>
          <t>LOPEC, productronica, electronica, Formnext</t>
        </is>
      </c>
    </row>
    <row r="13">
      <c r="A13" s="2" t="inlineStr">
        <is>
          <t>G&amp;A (Sachkosten)</t>
        </is>
      </c>
      <c r="B13" s="12" t="n">
        <v>150</v>
      </c>
      <c r="C13" s="12" t="n">
        <v>300</v>
      </c>
      <c r="D13" s="12" t="n">
        <v>400</v>
      </c>
      <c r="E13" s="12" t="n">
        <v>500</v>
      </c>
      <c r="F13" s="12" t="n">
        <v>600</v>
      </c>
      <c r="G13" s="12" t="n">
        <v>700</v>
      </c>
    </row>
    <row r="14">
      <c r="A14" s="2" t="inlineStr">
        <is>
          <t>Fördermittel (Zufluss)</t>
        </is>
      </c>
      <c r="B14" s="12" t="n">
        <v>250</v>
      </c>
      <c r="C14" s="12" t="n">
        <v>300</v>
      </c>
      <c r="D14" s="12" t="n">
        <v>250</v>
      </c>
      <c r="E14" s="12" t="n">
        <v>0</v>
      </c>
      <c r="F14" s="12" t="n">
        <v>0</v>
      </c>
      <c r="G14" s="12" t="n">
        <v>0</v>
      </c>
      <c r="H14" s="4" t="inlineStr">
        <is>
          <t>ZIM/Bayern; Upside inkl. EIC 2,5 M€</t>
        </is>
      </c>
    </row>
    <row r="15">
      <c r="A15" s="2" t="inlineStr">
        <is>
          <t>Capex (inkl. Tooling, Demoflotte)</t>
        </is>
      </c>
      <c r="B15" s="12" t="n">
        <v>200</v>
      </c>
      <c r="C15" s="12" t="n">
        <v>550</v>
      </c>
      <c r="D15" s="12" t="n">
        <v>450</v>
      </c>
      <c r="E15" s="12" t="n">
        <v>450</v>
      </c>
      <c r="F15" s="12" t="n">
        <v>500</v>
      </c>
      <c r="G15" s="12" t="n">
        <v>550</v>
      </c>
    </row>
    <row r="16"/>
    <row r="17">
      <c r="A17" s="9" t="inlineStr">
        <is>
          <t>INSTALLIERTE BASIS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3" t="inlineStr">
        <is>
          <t>Kumulierte Basis (Jahresende)</t>
        </is>
      </c>
      <c r="B18" s="14">
        <f>B5</f>
        <v/>
      </c>
      <c r="C18" s="14">
        <f>B18+C5</f>
        <v/>
      </c>
      <c r="D18" s="14">
        <f>C18+D5</f>
        <v/>
      </c>
      <c r="E18" s="14">
        <f>D18+E5</f>
        <v/>
      </c>
      <c r="F18" s="14">
        <f>E18+F5</f>
        <v/>
      </c>
      <c r="G18" s="14">
        <f>F18+G5</f>
        <v/>
      </c>
    </row>
    <row r="19">
      <c r="A19" s="2" t="inlineStr">
        <is>
          <t>Ø aktive Basis (Jahresmittel)</t>
        </is>
      </c>
      <c r="B19" s="15">
        <f>(0+B18)/2</f>
        <v/>
      </c>
      <c r="C19" s="15">
        <f>(B18+C18)/2</f>
        <v/>
      </c>
      <c r="D19" s="15">
        <f>(C18+D18)/2</f>
        <v/>
      </c>
      <c r="E19" s="15">
        <f>(D18+E18)/2</f>
        <v/>
      </c>
      <c r="F19" s="15">
        <f>(E18+F18)/2</f>
        <v/>
      </c>
      <c r="G19" s="15">
        <f>(F18+G18)/2</f>
        <v/>
      </c>
    </row>
    <row r="20">
      <c r="A20" s="2" t="inlineStr">
        <is>
          <t>Servicefähige Basis (Vorjahresbestand)</t>
        </is>
      </c>
      <c r="B20" s="15">
        <f>0</f>
        <v/>
      </c>
      <c r="C20" s="15">
        <f>B18</f>
        <v/>
      </c>
      <c r="D20" s="15">
        <f>C18</f>
        <v/>
      </c>
      <c r="E20" s="15">
        <f>D18</f>
        <v/>
      </c>
      <c r="F20" s="15">
        <f>E18</f>
        <v/>
      </c>
      <c r="G20" s="15">
        <f>F18</f>
        <v/>
      </c>
    </row>
    <row r="21"/>
    <row r="22">
      <c r="A22" s="9" t="inlineStr">
        <is>
          <t>UMSATZ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2" t="inlineStr">
        <is>
          <t>Maschinenumsatz</t>
        </is>
      </c>
      <c r="B23" s="16">
        <f>B5*B7</f>
        <v/>
      </c>
      <c r="C23" s="16">
        <f>C5*C7</f>
        <v/>
      </c>
      <c r="D23" s="16">
        <f>D5*D7*(1-Annahmen!$C$12*Annahmen!$C$13)</f>
        <v/>
      </c>
      <c r="E23" s="16">
        <f>E5*E7*(1-Annahmen!$C$12*Annahmen!$C$13)</f>
        <v/>
      </c>
      <c r="F23" s="16">
        <f>F5*F7*(1-Annahmen!$C$12*Annahmen!$C$13)</f>
        <v/>
      </c>
      <c r="G23" s="16">
        <f>G5*G7*(1-Annahmen!$C$12*Annahmen!$C$13)</f>
        <v/>
      </c>
      <c r="H23" s="4" t="inlineStr">
        <is>
          <t>ab 2028 Kanalmix mit Distributorenrabatt</t>
        </is>
      </c>
    </row>
    <row r="24">
      <c r="A24" s="2" t="inlineStr">
        <is>
          <t>Verbrauchsmaterial</t>
        </is>
      </c>
      <c r="B24" s="16">
        <f>B19*Annahmen!$C$4</f>
        <v/>
      </c>
      <c r="C24" s="16">
        <f>C19*Annahmen!$C$4</f>
        <v/>
      </c>
      <c r="D24" s="16">
        <f>D19*Annahmen!$C$4</f>
        <v/>
      </c>
      <c r="E24" s="16">
        <f>E19*Annahmen!$C$4</f>
        <v/>
      </c>
      <c r="F24" s="16">
        <f>F19*Annahmen!$C$4</f>
        <v/>
      </c>
      <c r="G24" s="16">
        <f>G19*Annahmen!$C$4</f>
        <v/>
      </c>
    </row>
    <row r="25">
      <c r="A25" s="2" t="inlineStr">
        <is>
          <t>Service &amp; Wartung</t>
        </is>
      </c>
      <c r="B25" s="16">
        <f>B20*Annahmen!$C$6*Annahmen!$C$7*B7</f>
        <v/>
      </c>
      <c r="C25" s="16">
        <f>C20*Annahmen!$C$6*Annahmen!$C$7*C7</f>
        <v/>
      </c>
      <c r="D25" s="16">
        <f>D20*Annahmen!$C$6*Annahmen!$C$7*D7</f>
        <v/>
      </c>
      <c r="E25" s="16">
        <f>E20*Annahmen!$C$6*Annahmen!$C$7*E7</f>
        <v/>
      </c>
      <c r="F25" s="16">
        <f>F20*Annahmen!$C$6*Annahmen!$C$7*F7</f>
        <v/>
      </c>
      <c r="G25" s="16">
        <f>G20*Annahmen!$C$6*Annahmen!$C$7*G7</f>
        <v/>
      </c>
    </row>
    <row r="26">
      <c r="A26" s="2" t="inlineStr">
        <is>
          <t>Software (Aion-5X Abo)</t>
        </is>
      </c>
      <c r="B26" s="16">
        <f>B19*Annahmen!$C$10*Annahmen!$C$9</f>
        <v/>
      </c>
      <c r="C26" s="16">
        <f>C19*Annahmen!$C$10*Annahmen!$C$9</f>
        <v/>
      </c>
      <c r="D26" s="16">
        <f>D19*Annahmen!$C$10*Annahmen!$C$9</f>
        <v/>
      </c>
      <c r="E26" s="16">
        <f>E19*Annahmen!$C$10*Annahmen!$C$9</f>
        <v/>
      </c>
      <c r="F26" s="16">
        <f>F19*Annahmen!$C$10*Annahmen!$C$9</f>
        <v/>
      </c>
      <c r="G26" s="16">
        <f>G19*Annahmen!$C$10*Annahmen!$C$9</f>
        <v/>
      </c>
    </row>
    <row r="27">
      <c r="A27" s="2" t="inlineStr">
        <is>
          <t>Applikationsprojekte/NRE</t>
        </is>
      </c>
      <c r="B27" s="16">
        <f>B6</f>
        <v/>
      </c>
      <c r="C27" s="16">
        <f>C6</f>
        <v/>
      </c>
      <c r="D27" s="16">
        <f>D6</f>
        <v/>
      </c>
      <c r="E27" s="16">
        <f>E6</f>
        <v/>
      </c>
      <c r="F27" s="16">
        <f>F6</f>
        <v/>
      </c>
      <c r="G27" s="16">
        <f>G6</f>
        <v/>
      </c>
    </row>
    <row r="28">
      <c r="A28" s="3" t="inlineStr">
        <is>
          <t>Gesamtumsatz</t>
        </is>
      </c>
      <c r="B28" s="17">
        <f>SUM(B23:B27)</f>
        <v/>
      </c>
      <c r="C28" s="17">
        <f>SUM(C23:C27)</f>
        <v/>
      </c>
      <c r="D28" s="17">
        <f>SUM(D23:D27)</f>
        <v/>
      </c>
      <c r="E28" s="17">
        <f>SUM(E23:E27)</f>
        <v/>
      </c>
      <c r="F28" s="17">
        <f>SUM(F23:F27)</f>
        <v/>
      </c>
      <c r="G28" s="17">
        <f>SUM(G23:G27)</f>
        <v/>
      </c>
    </row>
    <row r="29"/>
    <row r="30">
      <c r="A30" s="9" t="inlineStr">
        <is>
          <t>BRUTTOERGEBNIS</t>
        </is>
      </c>
      <c r="B30" s="10" t="n"/>
      <c r="C30" s="10" t="n"/>
      <c r="D30" s="10" t="n"/>
      <c r="E30" s="10" t="n"/>
      <c r="F30" s="10" t="n"/>
      <c r="G30" s="10" t="n"/>
      <c r="H30" s="10" t="n"/>
    </row>
    <row r="31">
      <c r="A31" s="2" t="inlineStr">
        <is>
          <t>COGS Maschinen</t>
        </is>
      </c>
      <c r="B31" s="16">
        <f>B5*B7*B8</f>
        <v/>
      </c>
      <c r="C31" s="16">
        <f>C5*C7*C8</f>
        <v/>
      </c>
      <c r="D31" s="16">
        <f>D5*D7*D8</f>
        <v/>
      </c>
      <c r="E31" s="16">
        <f>E5*E7*E8</f>
        <v/>
      </c>
      <c r="F31" s="16">
        <f>F5*F7*F8</f>
        <v/>
      </c>
      <c r="G31" s="16">
        <f>G5*G7*G8</f>
        <v/>
      </c>
    </row>
    <row r="32">
      <c r="A32" s="3" t="inlineStr">
        <is>
          <t>Bruttoergebnis</t>
        </is>
      </c>
      <c r="B32" s="18">
        <f>B23-B31+B24*Annahmen!$C$5+B25*Annahmen!$C$8+B26*Annahmen!$C$11+B27*Annahmen!$C$19</f>
        <v/>
      </c>
      <c r="C32" s="18">
        <f>C23-C31+C24*Annahmen!$C$5+C25*Annahmen!$C$8+C26*Annahmen!$C$11+C27*Annahmen!$C$19</f>
        <v/>
      </c>
      <c r="D32" s="18">
        <f>D23-D31+D24*Annahmen!$C$5+D25*Annahmen!$C$8+D26*Annahmen!$C$11+D27*Annahmen!$C$19</f>
        <v/>
      </c>
      <c r="E32" s="18">
        <f>E23-E31+E24*Annahmen!$C$5+E25*Annahmen!$C$8+E26*Annahmen!$C$11+E27*Annahmen!$C$19</f>
        <v/>
      </c>
      <c r="F32" s="18">
        <f>F23-F31+F24*Annahmen!$C$5+F25*Annahmen!$C$8+F26*Annahmen!$C$11+F27*Annahmen!$C$19</f>
        <v/>
      </c>
      <c r="G32" s="18">
        <f>G23-G31+G24*Annahmen!$C$5+G25*Annahmen!$C$8+G26*Annahmen!$C$11+G27*Annahmen!$C$19</f>
        <v/>
      </c>
    </row>
    <row r="33">
      <c r="A33" s="2" t="inlineStr">
        <is>
          <t>Bruttomarge %</t>
        </is>
      </c>
      <c r="B33" s="19">
        <f>IF(B28=0,0,B32/B28)</f>
        <v/>
      </c>
      <c r="C33" s="19">
        <f>IF(C28=0,0,C32/C28)</f>
        <v/>
      </c>
      <c r="D33" s="19">
        <f>IF(D28=0,0,D32/D28)</f>
        <v/>
      </c>
      <c r="E33" s="19">
        <f>IF(E28=0,0,E32/E28)</f>
        <v/>
      </c>
      <c r="F33" s="19">
        <f>IF(F28=0,0,F32/F28)</f>
        <v/>
      </c>
      <c r="G33" s="19">
        <f>IF(G28=0,0,G32/G28)</f>
        <v/>
      </c>
    </row>
    <row r="34"/>
    <row r="35">
      <c r="A35" s="9" t="inlineStr">
        <is>
          <t>OPERATIVE KOSTEN</t>
        </is>
      </c>
      <c r="B35" s="10" t="n"/>
      <c r="C35" s="10" t="n"/>
      <c r="D35" s="10" t="n"/>
      <c r="E35" s="10" t="n"/>
      <c r="F35" s="10" t="n"/>
      <c r="G35" s="10" t="n"/>
      <c r="H35" s="10" t="n"/>
    </row>
    <row r="36">
      <c r="A36" s="2" t="inlineStr">
        <is>
          <t>Personal</t>
        </is>
      </c>
      <c r="B36" s="16">
        <f>B9*Annahmen!$C$15</f>
        <v/>
      </c>
      <c r="C36" s="16">
        <f>C9*Annahmen!$C$15</f>
        <v/>
      </c>
      <c r="D36" s="16">
        <f>D9*Annahmen!$C$15</f>
        <v/>
      </c>
      <c r="E36" s="16">
        <f>E9*Annahmen!$C$15</f>
        <v/>
      </c>
      <c r="F36" s="16">
        <f>F9*Annahmen!$C$15</f>
        <v/>
      </c>
      <c r="G36" s="16">
        <f>G9*Annahmen!$C$15</f>
        <v/>
      </c>
    </row>
    <row r="37">
      <c r="A37" s="2" t="inlineStr">
        <is>
          <t>Variabler Vertrieb (CAC direkt)</t>
        </is>
      </c>
      <c r="B37" s="16">
        <f>B5*Annahmen!$C$14</f>
        <v/>
      </c>
      <c r="C37" s="16">
        <f>C5*Annahmen!$C$14</f>
        <v/>
      </c>
      <c r="D37" s="16">
        <f>D5*(1-Annahmen!$C$12)*Annahmen!$C$14</f>
        <v/>
      </c>
      <c r="E37" s="16">
        <f>E5*(1-Annahmen!$C$12)*Annahmen!$C$14</f>
        <v/>
      </c>
      <c r="F37" s="16">
        <f>F5*(1-Annahmen!$C$12)*Annahmen!$C$14</f>
        <v/>
      </c>
      <c r="G37" s="16">
        <f>G5*(1-Annahmen!$C$12)*Annahmen!$C$14</f>
        <v/>
      </c>
    </row>
    <row r="38">
      <c r="A38" s="3" t="inlineStr">
        <is>
          <t>Opex gesamt</t>
        </is>
      </c>
      <c r="B38" s="18">
        <f>B36+B37+B10+B11+B12+B13</f>
        <v/>
      </c>
      <c r="C38" s="18">
        <f>C36+C37+C10+C11+C12+C13</f>
        <v/>
      </c>
      <c r="D38" s="18">
        <f>D36+D37+D10+D11+D12+D13</f>
        <v/>
      </c>
      <c r="E38" s="18">
        <f>E36+E37+E10+E11+E12+E13</f>
        <v/>
      </c>
      <c r="F38" s="18">
        <f>F36+F37+F10+F11+F12+F13</f>
        <v/>
      </c>
      <c r="G38" s="18">
        <f>G36+G37+G10+G11+G12+G13</f>
        <v/>
      </c>
    </row>
    <row r="39"/>
    <row r="40">
      <c r="A40" s="9" t="inlineStr">
        <is>
          <t>ERGEBNIS &amp; LIQUIDITÄT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>
      <c r="A41" s="3" t="inlineStr">
        <is>
          <t>EBITDA (inkl. Fördermittel)</t>
        </is>
      </c>
      <c r="B41" s="17">
        <f>B32-B38+B14</f>
        <v/>
      </c>
      <c r="C41" s="17">
        <f>C32-C38+C14</f>
        <v/>
      </c>
      <c r="D41" s="17">
        <f>D32-D38+D14</f>
        <v/>
      </c>
      <c r="E41" s="17">
        <f>E32-E38+E14</f>
        <v/>
      </c>
      <c r="F41" s="17">
        <f>F32-F38+F14</f>
        <v/>
      </c>
      <c r="G41" s="17">
        <f>G32-G38+G14</f>
        <v/>
      </c>
    </row>
    <row r="42">
      <c r="A42" s="2" t="inlineStr">
        <is>
          <t>EBITDA-Marge %</t>
        </is>
      </c>
      <c r="B42" s="20">
        <f>IF(B28=0,0,B41/B28)</f>
        <v/>
      </c>
      <c r="C42" s="20">
        <f>IF(C28=0,0,C41/C28)</f>
        <v/>
      </c>
      <c r="D42" s="20">
        <f>IF(D28=0,0,D41/D28)</f>
        <v/>
      </c>
      <c r="E42" s="20">
        <f>IF(E28=0,0,E41/E28)</f>
        <v/>
      </c>
      <c r="F42" s="20">
        <f>IF(F28=0,0,F41/F28)</f>
        <v/>
      </c>
      <c r="G42" s="20">
        <f>IF(G28=0,0,G41/G28)</f>
        <v/>
      </c>
    </row>
    <row r="43">
      <c r="A43" s="2" t="inlineStr">
        <is>
          <t>Δ Working Capital</t>
        </is>
      </c>
      <c r="B43" s="16">
        <f>MAX(0,(B28-0)*Annahmen!$C$16)</f>
        <v/>
      </c>
      <c r="C43" s="16">
        <f>MAX(0,(C28-B28)*Annahmen!$C$16)</f>
        <v/>
      </c>
      <c r="D43" s="16">
        <f>MAX(0,(D28-C28)*Annahmen!$C$16)</f>
        <v/>
      </c>
      <c r="E43" s="16">
        <f>MAX(0,(E28-D28)*Annahmen!$C$16)</f>
        <v/>
      </c>
      <c r="F43" s="16">
        <f>MAX(0,(F28-E28)*Annahmen!$C$16)</f>
        <v/>
      </c>
      <c r="G43" s="16">
        <f>MAX(0,(G28-F28)*Annahmen!$C$16)</f>
        <v/>
      </c>
    </row>
    <row r="44">
      <c r="A44" s="3" t="inlineStr">
        <is>
          <t>Free Cash Flow</t>
        </is>
      </c>
      <c r="B44" s="18">
        <f>B41-B15-B43</f>
        <v/>
      </c>
      <c r="C44" s="18">
        <f>C41-C15-C43</f>
        <v/>
      </c>
      <c r="D44" s="18">
        <f>D41-D15-D43</f>
        <v/>
      </c>
      <c r="E44" s="18">
        <f>E41-E15-E43</f>
        <v/>
      </c>
      <c r="F44" s="18">
        <f>F41-F15-F43</f>
        <v/>
      </c>
      <c r="G44" s="18">
        <f>G41-G15-G43</f>
        <v/>
      </c>
    </row>
    <row r="45">
      <c r="A45" s="2" t="inlineStr">
        <is>
          <t>Kumulierter Cash Flow</t>
        </is>
      </c>
      <c r="B45" s="21">
        <f>B44</f>
        <v/>
      </c>
      <c r="C45" s="21">
        <f>B45+C44</f>
        <v/>
      </c>
      <c r="D45" s="21">
        <f>C45+D44</f>
        <v/>
      </c>
      <c r="E45" s="21">
        <f>D45+E44</f>
        <v/>
      </c>
      <c r="F45" s="21">
        <f>E45+F44</f>
        <v/>
      </c>
      <c r="G45" s="21">
        <f>F45+G44</f>
        <v/>
      </c>
    </row>
    <row r="46"/>
    <row r="47">
      <c r="A47" s="9" t="inlineStr">
        <is>
          <t>KENNZAHLEN</t>
        </is>
      </c>
      <c r="B47" s="10" t="n"/>
      <c r="C47" s="10" t="n"/>
      <c r="D47" s="10" t="n"/>
      <c r="E47" s="10" t="n"/>
      <c r="F47" s="10" t="n"/>
      <c r="G47" s="10" t="n"/>
      <c r="H47" s="10" t="n"/>
    </row>
    <row r="48">
      <c r="A48" s="3" t="inlineStr">
        <is>
          <t>Kapitalbedarf brutto (max. Cash-Tal, +15 % Puffer)</t>
        </is>
      </c>
      <c r="B48" s="17">
        <f>-MIN(B45:G45)*1.15</f>
        <v/>
      </c>
    </row>
    <row r="49">
      <c r="A49" s="3" t="inlineStr">
        <is>
          <t>Break-even-Jahr (EBITDA ≥ 0)</t>
        </is>
      </c>
      <c r="B49" s="22">
        <f>IF(MAX(B41:G41)&lt;0,"n. e.",MIN(IF(B41:G41&gt;=0,{2026,2027,2028,2029,2030,2031})))</f>
        <v/>
      </c>
    </row>
    <row r="50"/>
    <row r="51">
      <c r="A51" s="4" t="inlineStr">
        <is>
          <t>Zeilenreferenzen: siehe 'Szenariovergleich' und 'Returns'.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>
      <c r="A1" s="1" t="inlineStr">
        <is>
          <t>KRONOS Eos — Szenario Upside</t>
        </is>
      </c>
    </row>
    <row r="2"/>
    <row r="3">
      <c r="A3" s="5" t="inlineStr">
        <is>
          <t>Position</t>
        </is>
      </c>
      <c r="B3" s="5" t="inlineStr">
        <is>
          <t>2026</t>
        </is>
      </c>
      <c r="C3" s="5" t="inlineStr">
        <is>
          <t>2027</t>
        </is>
      </c>
      <c r="D3" s="5" t="inlineStr">
        <is>
          <t>2028</t>
        </is>
      </c>
      <c r="E3" s="5" t="inlineStr">
        <is>
          <t>2029</t>
        </is>
      </c>
      <c r="F3" s="5" t="inlineStr">
        <is>
          <t>2030</t>
        </is>
      </c>
      <c r="G3" s="5" t="inlineStr">
        <is>
          <t>2031</t>
        </is>
      </c>
      <c r="H3" s="5" t="inlineStr">
        <is>
          <t>Notiz</t>
        </is>
      </c>
    </row>
    <row r="4">
      <c r="A4" s="9" t="inlineStr">
        <is>
          <t>EINGABEN (gelb = editierbar)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2" t="inlineStr">
        <is>
          <t>Verkaufte Einheiten</t>
        </is>
      </c>
      <c r="B5" s="11" t="n">
        <v>0</v>
      </c>
      <c r="C5" s="11" t="n">
        <v>18</v>
      </c>
      <c r="D5" s="11" t="n">
        <v>55</v>
      </c>
      <c r="E5" s="11" t="n">
        <v>120</v>
      </c>
      <c r="F5" s="11" t="n">
        <v>220</v>
      </c>
      <c r="G5" s="11" t="n">
        <v>330</v>
      </c>
      <c r="H5" s="4" t="inlineStr">
        <is>
          <t>D — Validierungsziel V1/V2</t>
        </is>
      </c>
    </row>
    <row r="6">
      <c r="A6" s="2" t="inlineStr">
        <is>
          <t>Applikationsprojekte/NRE (Umsatz)</t>
        </is>
      </c>
      <c r="B6" s="12" t="n">
        <v>0</v>
      </c>
      <c r="C6" s="12" t="n">
        <v>400</v>
      </c>
      <c r="D6" s="12" t="n">
        <v>700</v>
      </c>
      <c r="E6" s="12" t="n">
        <v>1100</v>
      </c>
      <c r="F6" s="12" t="n">
        <v>1400</v>
      </c>
      <c r="G6" s="12" t="n">
        <v>1700</v>
      </c>
      <c r="H6" s="4" t="inlineStr">
        <is>
          <t>PoC-Studien, Prozessintegration — heutiges KRONOS-Geschäft</t>
        </is>
      </c>
    </row>
    <row r="7">
      <c r="A7" s="2" t="inlineStr">
        <is>
          <t>Listenpreis blended (k€)</t>
        </is>
      </c>
      <c r="B7" s="13" t="n">
        <v>0</v>
      </c>
      <c r="C7" s="13" t="n">
        <v>52</v>
      </c>
      <c r="D7" s="13" t="n">
        <v>61</v>
      </c>
      <c r="E7" s="13" t="n">
        <v>63</v>
      </c>
      <c r="F7" s="13" t="n">
        <v>64</v>
      </c>
      <c r="G7" s="13" t="n">
        <v>65</v>
      </c>
      <c r="H7" s="4" t="inlineStr">
        <is>
          <t>Mix Eos One/Five/Max ≈ 25/55/20 %; 2027 = Pilotpreise</t>
        </is>
      </c>
    </row>
    <row r="8">
      <c r="A8" s="2" t="inlineStr">
        <is>
          <t>Maschinen-COGS (% v. Liste)</t>
        </is>
      </c>
      <c r="B8" s="7" t="n">
        <v>0</v>
      </c>
      <c r="C8" s="7" t="n">
        <v>0.5600000000000001</v>
      </c>
      <c r="D8" s="7" t="n">
        <v>0.53</v>
      </c>
      <c r="E8" s="7" t="n">
        <v>0.5</v>
      </c>
      <c r="F8" s="7" t="n">
        <v>0.47</v>
      </c>
      <c r="G8" s="7" t="n">
        <v>0.45</v>
      </c>
      <c r="H8" s="4" t="inlineStr">
        <is>
          <t>C — BOM-These, Gate V3</t>
        </is>
      </c>
    </row>
    <row r="9">
      <c r="A9" s="2" t="inlineStr">
        <is>
          <t>FTE</t>
        </is>
      </c>
      <c r="B9" s="11" t="n">
        <v>9</v>
      </c>
      <c r="C9" s="11" t="n">
        <v>15</v>
      </c>
      <c r="D9" s="11" t="n">
        <v>22</v>
      </c>
      <c r="E9" s="11" t="n">
        <v>30</v>
      </c>
      <c r="F9" s="11" t="n">
        <v>40</v>
      </c>
      <c r="G9" s="11" t="n">
        <v>50</v>
      </c>
    </row>
    <row r="10">
      <c r="A10" s="2" t="inlineStr">
        <is>
          <t>Entwicklung (Sachkosten)</t>
        </is>
      </c>
      <c r="B10" s="12" t="n">
        <v>500</v>
      </c>
      <c r="C10" s="12" t="n">
        <v>650</v>
      </c>
      <c r="D10" s="12" t="n">
        <v>450</v>
      </c>
      <c r="E10" s="12" t="n">
        <v>350</v>
      </c>
      <c r="F10" s="12" t="n">
        <v>350</v>
      </c>
      <c r="G10" s="12" t="n">
        <v>350</v>
      </c>
      <c r="H10" s="4" t="inlineStr">
        <is>
          <t>Plattform-Derivat aus Helios-Technik</t>
        </is>
      </c>
    </row>
    <row r="11">
      <c r="A11" s="2" t="inlineStr">
        <is>
          <t>Zertifizierung (CE/UL)</t>
        </is>
      </c>
      <c r="B11" s="12" t="n">
        <v>0</v>
      </c>
      <c r="C11" s="12" t="n">
        <v>150</v>
      </c>
      <c r="D11" s="12" t="n">
        <v>0</v>
      </c>
      <c r="E11" s="12" t="n">
        <v>0</v>
      </c>
      <c r="F11" s="12" t="n">
        <v>0</v>
      </c>
      <c r="G11" s="12" t="n">
        <v>0</v>
      </c>
    </row>
    <row r="12">
      <c r="A12" s="2" t="inlineStr">
        <is>
          <t>Marketing &amp; Messen</t>
        </is>
      </c>
      <c r="B12" s="12" t="n">
        <v>100</v>
      </c>
      <c r="C12" s="12" t="n">
        <v>400</v>
      </c>
      <c r="D12" s="12" t="n">
        <v>600</v>
      </c>
      <c r="E12" s="12" t="n">
        <v>900</v>
      </c>
      <c r="F12" s="12" t="n">
        <v>1100</v>
      </c>
      <c r="G12" s="12" t="n">
        <v>1300</v>
      </c>
      <c r="H12" s="4" t="inlineStr">
        <is>
          <t>LOPEC, productronica, electronica, Formnext</t>
        </is>
      </c>
    </row>
    <row r="13">
      <c r="A13" s="2" t="inlineStr">
        <is>
          <t>G&amp;A (Sachkosten)</t>
        </is>
      </c>
      <c r="B13" s="12" t="n">
        <v>150</v>
      </c>
      <c r="C13" s="12" t="n">
        <v>350</v>
      </c>
      <c r="D13" s="12" t="n">
        <v>450</v>
      </c>
      <c r="E13" s="12" t="n">
        <v>600</v>
      </c>
      <c r="F13" s="12" t="n">
        <v>700</v>
      </c>
      <c r="G13" s="12" t="n">
        <v>800</v>
      </c>
    </row>
    <row r="14">
      <c r="A14" s="2" t="inlineStr">
        <is>
          <t>Fördermittel (Zufluss)</t>
        </is>
      </c>
      <c r="B14" s="12" t="n">
        <v>250</v>
      </c>
      <c r="C14" s="12" t="n">
        <v>1500</v>
      </c>
      <c r="D14" s="12" t="n">
        <v>1550</v>
      </c>
      <c r="E14" s="12" t="n">
        <v>0</v>
      </c>
      <c r="F14" s="12" t="n">
        <v>0</v>
      </c>
      <c r="G14" s="12" t="n">
        <v>0</v>
      </c>
      <c r="H14" s="4" t="inlineStr">
        <is>
          <t>ZIM/Bayern; Upside inkl. EIC 2,5 M€</t>
        </is>
      </c>
    </row>
    <row r="15">
      <c r="A15" s="2" t="inlineStr">
        <is>
          <t>Capex (inkl. Tooling, Demoflotte)</t>
        </is>
      </c>
      <c r="B15" s="12" t="n">
        <v>200</v>
      </c>
      <c r="C15" s="12" t="n">
        <v>600</v>
      </c>
      <c r="D15" s="12" t="n">
        <v>500</v>
      </c>
      <c r="E15" s="12" t="n">
        <v>550</v>
      </c>
      <c r="F15" s="12" t="n">
        <v>650</v>
      </c>
      <c r="G15" s="12" t="n">
        <v>750</v>
      </c>
    </row>
    <row r="16"/>
    <row r="17">
      <c r="A17" s="9" t="inlineStr">
        <is>
          <t>INSTALLIERTE BASIS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3" t="inlineStr">
        <is>
          <t>Kumulierte Basis (Jahresende)</t>
        </is>
      </c>
      <c r="B18" s="14">
        <f>B5</f>
        <v/>
      </c>
      <c r="C18" s="14">
        <f>B18+C5</f>
        <v/>
      </c>
      <c r="D18" s="14">
        <f>C18+D5</f>
        <v/>
      </c>
      <c r="E18" s="14">
        <f>D18+E5</f>
        <v/>
      </c>
      <c r="F18" s="14">
        <f>E18+F5</f>
        <v/>
      </c>
      <c r="G18" s="14">
        <f>F18+G5</f>
        <v/>
      </c>
    </row>
    <row r="19">
      <c r="A19" s="2" t="inlineStr">
        <is>
          <t>Ø aktive Basis (Jahresmittel)</t>
        </is>
      </c>
      <c r="B19" s="15">
        <f>(0+B18)/2</f>
        <v/>
      </c>
      <c r="C19" s="15">
        <f>(B18+C18)/2</f>
        <v/>
      </c>
      <c r="D19" s="15">
        <f>(C18+D18)/2</f>
        <v/>
      </c>
      <c r="E19" s="15">
        <f>(D18+E18)/2</f>
        <v/>
      </c>
      <c r="F19" s="15">
        <f>(E18+F18)/2</f>
        <v/>
      </c>
      <c r="G19" s="15">
        <f>(F18+G18)/2</f>
        <v/>
      </c>
    </row>
    <row r="20">
      <c r="A20" s="2" t="inlineStr">
        <is>
          <t>Servicefähige Basis (Vorjahresbestand)</t>
        </is>
      </c>
      <c r="B20" s="15">
        <f>0</f>
        <v/>
      </c>
      <c r="C20" s="15">
        <f>B18</f>
        <v/>
      </c>
      <c r="D20" s="15">
        <f>C18</f>
        <v/>
      </c>
      <c r="E20" s="15">
        <f>D18</f>
        <v/>
      </c>
      <c r="F20" s="15">
        <f>E18</f>
        <v/>
      </c>
      <c r="G20" s="15">
        <f>F18</f>
        <v/>
      </c>
    </row>
    <row r="21"/>
    <row r="22">
      <c r="A22" s="9" t="inlineStr">
        <is>
          <t>UMSATZ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2" t="inlineStr">
        <is>
          <t>Maschinenumsatz</t>
        </is>
      </c>
      <c r="B23" s="16">
        <f>B5*B7</f>
        <v/>
      </c>
      <c r="C23" s="16">
        <f>C5*C7</f>
        <v/>
      </c>
      <c r="D23" s="16">
        <f>D5*D7*(1-Annahmen!$D$12*Annahmen!$D$13)</f>
        <v/>
      </c>
      <c r="E23" s="16">
        <f>E5*E7*(1-Annahmen!$D$12*Annahmen!$D$13)</f>
        <v/>
      </c>
      <c r="F23" s="16">
        <f>F5*F7*(1-Annahmen!$D$12*Annahmen!$D$13)</f>
        <v/>
      </c>
      <c r="G23" s="16">
        <f>G5*G7*(1-Annahmen!$D$12*Annahmen!$D$13)</f>
        <v/>
      </c>
      <c r="H23" s="4" t="inlineStr">
        <is>
          <t>ab 2028 Kanalmix mit Distributorenrabatt</t>
        </is>
      </c>
    </row>
    <row r="24">
      <c r="A24" s="2" t="inlineStr">
        <is>
          <t>Verbrauchsmaterial</t>
        </is>
      </c>
      <c r="B24" s="16">
        <f>B19*Annahmen!$D$4</f>
        <v/>
      </c>
      <c r="C24" s="16">
        <f>C19*Annahmen!$D$4</f>
        <v/>
      </c>
      <c r="D24" s="16">
        <f>D19*Annahmen!$D$4</f>
        <v/>
      </c>
      <c r="E24" s="16">
        <f>E19*Annahmen!$D$4</f>
        <v/>
      </c>
      <c r="F24" s="16">
        <f>F19*Annahmen!$D$4</f>
        <v/>
      </c>
      <c r="G24" s="16">
        <f>G19*Annahmen!$D$4</f>
        <v/>
      </c>
    </row>
    <row r="25">
      <c r="A25" s="2" t="inlineStr">
        <is>
          <t>Service &amp; Wartung</t>
        </is>
      </c>
      <c r="B25" s="16">
        <f>B20*Annahmen!$D$6*Annahmen!$D$7*B7</f>
        <v/>
      </c>
      <c r="C25" s="16">
        <f>C20*Annahmen!$D$6*Annahmen!$D$7*C7</f>
        <v/>
      </c>
      <c r="D25" s="16">
        <f>D20*Annahmen!$D$6*Annahmen!$D$7*D7</f>
        <v/>
      </c>
      <c r="E25" s="16">
        <f>E20*Annahmen!$D$6*Annahmen!$D$7*E7</f>
        <v/>
      </c>
      <c r="F25" s="16">
        <f>F20*Annahmen!$D$6*Annahmen!$D$7*F7</f>
        <v/>
      </c>
      <c r="G25" s="16">
        <f>G20*Annahmen!$D$6*Annahmen!$D$7*G7</f>
        <v/>
      </c>
    </row>
    <row r="26">
      <c r="A26" s="2" t="inlineStr">
        <is>
          <t>Software (Aion-5X Abo)</t>
        </is>
      </c>
      <c r="B26" s="16">
        <f>B19*Annahmen!$D$10*Annahmen!$D$9</f>
        <v/>
      </c>
      <c r="C26" s="16">
        <f>C19*Annahmen!$D$10*Annahmen!$D$9</f>
        <v/>
      </c>
      <c r="D26" s="16">
        <f>D19*Annahmen!$D$10*Annahmen!$D$9</f>
        <v/>
      </c>
      <c r="E26" s="16">
        <f>E19*Annahmen!$D$10*Annahmen!$D$9</f>
        <v/>
      </c>
      <c r="F26" s="16">
        <f>F19*Annahmen!$D$10*Annahmen!$D$9</f>
        <v/>
      </c>
      <c r="G26" s="16">
        <f>G19*Annahmen!$D$10*Annahmen!$D$9</f>
        <v/>
      </c>
    </row>
    <row r="27">
      <c r="A27" s="2" t="inlineStr">
        <is>
          <t>Applikationsprojekte/NRE</t>
        </is>
      </c>
      <c r="B27" s="16">
        <f>B6</f>
        <v/>
      </c>
      <c r="C27" s="16">
        <f>C6</f>
        <v/>
      </c>
      <c r="D27" s="16">
        <f>D6</f>
        <v/>
      </c>
      <c r="E27" s="16">
        <f>E6</f>
        <v/>
      </c>
      <c r="F27" s="16">
        <f>F6</f>
        <v/>
      </c>
      <c r="G27" s="16">
        <f>G6</f>
        <v/>
      </c>
    </row>
    <row r="28">
      <c r="A28" s="3" t="inlineStr">
        <is>
          <t>Gesamtumsatz</t>
        </is>
      </c>
      <c r="B28" s="17">
        <f>SUM(B23:B27)</f>
        <v/>
      </c>
      <c r="C28" s="17">
        <f>SUM(C23:C27)</f>
        <v/>
      </c>
      <c r="D28" s="17">
        <f>SUM(D23:D27)</f>
        <v/>
      </c>
      <c r="E28" s="17">
        <f>SUM(E23:E27)</f>
        <v/>
      </c>
      <c r="F28" s="17">
        <f>SUM(F23:F27)</f>
        <v/>
      </c>
      <c r="G28" s="17">
        <f>SUM(G23:G27)</f>
        <v/>
      </c>
    </row>
    <row r="29"/>
    <row r="30">
      <c r="A30" s="9" t="inlineStr">
        <is>
          <t>BRUTTOERGEBNIS</t>
        </is>
      </c>
      <c r="B30" s="10" t="n"/>
      <c r="C30" s="10" t="n"/>
      <c r="D30" s="10" t="n"/>
      <c r="E30" s="10" t="n"/>
      <c r="F30" s="10" t="n"/>
      <c r="G30" s="10" t="n"/>
      <c r="H30" s="10" t="n"/>
    </row>
    <row r="31">
      <c r="A31" s="2" t="inlineStr">
        <is>
          <t>COGS Maschinen</t>
        </is>
      </c>
      <c r="B31" s="16">
        <f>B5*B7*B8</f>
        <v/>
      </c>
      <c r="C31" s="16">
        <f>C5*C7*C8</f>
        <v/>
      </c>
      <c r="D31" s="16">
        <f>D5*D7*D8</f>
        <v/>
      </c>
      <c r="E31" s="16">
        <f>E5*E7*E8</f>
        <v/>
      </c>
      <c r="F31" s="16">
        <f>F5*F7*F8</f>
        <v/>
      </c>
      <c r="G31" s="16">
        <f>G5*G7*G8</f>
        <v/>
      </c>
    </row>
    <row r="32">
      <c r="A32" s="3" t="inlineStr">
        <is>
          <t>Bruttoergebnis</t>
        </is>
      </c>
      <c r="B32" s="18">
        <f>B23-B31+B24*Annahmen!$D$5+B25*Annahmen!$D$8+B26*Annahmen!$D$11+B27*Annahmen!$D$19</f>
        <v/>
      </c>
      <c r="C32" s="18">
        <f>C23-C31+C24*Annahmen!$D$5+C25*Annahmen!$D$8+C26*Annahmen!$D$11+C27*Annahmen!$D$19</f>
        <v/>
      </c>
      <c r="D32" s="18">
        <f>D23-D31+D24*Annahmen!$D$5+D25*Annahmen!$D$8+D26*Annahmen!$D$11+D27*Annahmen!$D$19</f>
        <v/>
      </c>
      <c r="E32" s="18">
        <f>E23-E31+E24*Annahmen!$D$5+E25*Annahmen!$D$8+E26*Annahmen!$D$11+E27*Annahmen!$D$19</f>
        <v/>
      </c>
      <c r="F32" s="18">
        <f>F23-F31+F24*Annahmen!$D$5+F25*Annahmen!$D$8+F26*Annahmen!$D$11+F27*Annahmen!$D$19</f>
        <v/>
      </c>
      <c r="G32" s="18">
        <f>G23-G31+G24*Annahmen!$D$5+G25*Annahmen!$D$8+G26*Annahmen!$D$11+G27*Annahmen!$D$19</f>
        <v/>
      </c>
    </row>
    <row r="33">
      <c r="A33" s="2" t="inlineStr">
        <is>
          <t>Bruttomarge %</t>
        </is>
      </c>
      <c r="B33" s="19">
        <f>IF(B28=0,0,B32/B28)</f>
        <v/>
      </c>
      <c r="C33" s="19">
        <f>IF(C28=0,0,C32/C28)</f>
        <v/>
      </c>
      <c r="D33" s="19">
        <f>IF(D28=0,0,D32/D28)</f>
        <v/>
      </c>
      <c r="E33" s="19">
        <f>IF(E28=0,0,E32/E28)</f>
        <v/>
      </c>
      <c r="F33" s="19">
        <f>IF(F28=0,0,F32/F28)</f>
        <v/>
      </c>
      <c r="G33" s="19">
        <f>IF(G28=0,0,G32/G28)</f>
        <v/>
      </c>
    </row>
    <row r="34"/>
    <row r="35">
      <c r="A35" s="9" t="inlineStr">
        <is>
          <t>OPERATIVE KOSTEN</t>
        </is>
      </c>
      <c r="B35" s="10" t="n"/>
      <c r="C35" s="10" t="n"/>
      <c r="D35" s="10" t="n"/>
      <c r="E35" s="10" t="n"/>
      <c r="F35" s="10" t="n"/>
      <c r="G35" s="10" t="n"/>
      <c r="H35" s="10" t="n"/>
    </row>
    <row r="36">
      <c r="A36" s="2" t="inlineStr">
        <is>
          <t>Personal</t>
        </is>
      </c>
      <c r="B36" s="16">
        <f>B9*Annahmen!$D$15</f>
        <v/>
      </c>
      <c r="C36" s="16">
        <f>C9*Annahmen!$D$15</f>
        <v/>
      </c>
      <c r="D36" s="16">
        <f>D9*Annahmen!$D$15</f>
        <v/>
      </c>
      <c r="E36" s="16">
        <f>E9*Annahmen!$D$15</f>
        <v/>
      </c>
      <c r="F36" s="16">
        <f>F9*Annahmen!$D$15</f>
        <v/>
      </c>
      <c r="G36" s="16">
        <f>G9*Annahmen!$D$15</f>
        <v/>
      </c>
    </row>
    <row r="37">
      <c r="A37" s="2" t="inlineStr">
        <is>
          <t>Variabler Vertrieb (CAC direkt)</t>
        </is>
      </c>
      <c r="B37" s="16">
        <f>B5*Annahmen!$D$14</f>
        <v/>
      </c>
      <c r="C37" s="16">
        <f>C5*Annahmen!$D$14</f>
        <v/>
      </c>
      <c r="D37" s="16">
        <f>D5*(1-Annahmen!$D$12)*Annahmen!$D$14</f>
        <v/>
      </c>
      <c r="E37" s="16">
        <f>E5*(1-Annahmen!$D$12)*Annahmen!$D$14</f>
        <v/>
      </c>
      <c r="F37" s="16">
        <f>F5*(1-Annahmen!$D$12)*Annahmen!$D$14</f>
        <v/>
      </c>
      <c r="G37" s="16">
        <f>G5*(1-Annahmen!$D$12)*Annahmen!$D$14</f>
        <v/>
      </c>
    </row>
    <row r="38">
      <c r="A38" s="3" t="inlineStr">
        <is>
          <t>Opex gesamt</t>
        </is>
      </c>
      <c r="B38" s="18">
        <f>B36+B37+B10+B11+B12+B13</f>
        <v/>
      </c>
      <c r="C38" s="18">
        <f>C36+C37+C10+C11+C12+C13</f>
        <v/>
      </c>
      <c r="D38" s="18">
        <f>D36+D37+D10+D11+D12+D13</f>
        <v/>
      </c>
      <c r="E38" s="18">
        <f>E36+E37+E10+E11+E12+E13</f>
        <v/>
      </c>
      <c r="F38" s="18">
        <f>F36+F37+F10+F11+F12+F13</f>
        <v/>
      </c>
      <c r="G38" s="18">
        <f>G36+G37+G10+G11+G12+G13</f>
        <v/>
      </c>
    </row>
    <row r="39"/>
    <row r="40">
      <c r="A40" s="9" t="inlineStr">
        <is>
          <t>ERGEBNIS &amp; LIQUIDITÄT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>
      <c r="A41" s="3" t="inlineStr">
        <is>
          <t>EBITDA (inkl. Fördermittel)</t>
        </is>
      </c>
      <c r="B41" s="17">
        <f>B32-B38+B14</f>
        <v/>
      </c>
      <c r="C41" s="17">
        <f>C32-C38+C14</f>
        <v/>
      </c>
      <c r="D41" s="17">
        <f>D32-D38+D14</f>
        <v/>
      </c>
      <c r="E41" s="17">
        <f>E32-E38+E14</f>
        <v/>
      </c>
      <c r="F41" s="17">
        <f>F32-F38+F14</f>
        <v/>
      </c>
      <c r="G41" s="17">
        <f>G32-G38+G14</f>
        <v/>
      </c>
    </row>
    <row r="42">
      <c r="A42" s="2" t="inlineStr">
        <is>
          <t>EBITDA-Marge %</t>
        </is>
      </c>
      <c r="B42" s="20">
        <f>IF(B28=0,0,B41/B28)</f>
        <v/>
      </c>
      <c r="C42" s="20">
        <f>IF(C28=0,0,C41/C28)</f>
        <v/>
      </c>
      <c r="D42" s="20">
        <f>IF(D28=0,0,D41/D28)</f>
        <v/>
      </c>
      <c r="E42" s="20">
        <f>IF(E28=0,0,E41/E28)</f>
        <v/>
      </c>
      <c r="F42" s="20">
        <f>IF(F28=0,0,F41/F28)</f>
        <v/>
      </c>
      <c r="G42" s="20">
        <f>IF(G28=0,0,G41/G28)</f>
        <v/>
      </c>
    </row>
    <row r="43">
      <c r="A43" s="2" t="inlineStr">
        <is>
          <t>Δ Working Capital</t>
        </is>
      </c>
      <c r="B43" s="16">
        <f>MAX(0,(B28-0)*Annahmen!$D$16)</f>
        <v/>
      </c>
      <c r="C43" s="16">
        <f>MAX(0,(C28-B28)*Annahmen!$D$16)</f>
        <v/>
      </c>
      <c r="D43" s="16">
        <f>MAX(0,(D28-C28)*Annahmen!$D$16)</f>
        <v/>
      </c>
      <c r="E43" s="16">
        <f>MAX(0,(E28-D28)*Annahmen!$D$16)</f>
        <v/>
      </c>
      <c r="F43" s="16">
        <f>MAX(0,(F28-E28)*Annahmen!$D$16)</f>
        <v/>
      </c>
      <c r="G43" s="16">
        <f>MAX(0,(G28-F28)*Annahmen!$D$16)</f>
        <v/>
      </c>
    </row>
    <row r="44">
      <c r="A44" s="3" t="inlineStr">
        <is>
          <t>Free Cash Flow</t>
        </is>
      </c>
      <c r="B44" s="18">
        <f>B41-B15-B43</f>
        <v/>
      </c>
      <c r="C44" s="18">
        <f>C41-C15-C43</f>
        <v/>
      </c>
      <c r="D44" s="18">
        <f>D41-D15-D43</f>
        <v/>
      </c>
      <c r="E44" s="18">
        <f>E41-E15-E43</f>
        <v/>
      </c>
      <c r="F44" s="18">
        <f>F41-F15-F43</f>
        <v/>
      </c>
      <c r="G44" s="18">
        <f>G41-G15-G43</f>
        <v/>
      </c>
    </row>
    <row r="45">
      <c r="A45" s="2" t="inlineStr">
        <is>
          <t>Kumulierter Cash Flow</t>
        </is>
      </c>
      <c r="B45" s="21">
        <f>B44</f>
        <v/>
      </c>
      <c r="C45" s="21">
        <f>B45+C44</f>
        <v/>
      </c>
      <c r="D45" s="21">
        <f>C45+D44</f>
        <v/>
      </c>
      <c r="E45" s="21">
        <f>D45+E44</f>
        <v/>
      </c>
      <c r="F45" s="21">
        <f>E45+F44</f>
        <v/>
      </c>
      <c r="G45" s="21">
        <f>F45+G44</f>
        <v/>
      </c>
    </row>
    <row r="46"/>
    <row r="47">
      <c r="A47" s="9" t="inlineStr">
        <is>
          <t>KENNZAHLEN</t>
        </is>
      </c>
      <c r="B47" s="10" t="n"/>
      <c r="C47" s="10" t="n"/>
      <c r="D47" s="10" t="n"/>
      <c r="E47" s="10" t="n"/>
      <c r="F47" s="10" t="n"/>
      <c r="G47" s="10" t="n"/>
      <c r="H47" s="10" t="n"/>
    </row>
    <row r="48">
      <c r="A48" s="3" t="inlineStr">
        <is>
          <t>Kapitalbedarf brutto (max. Cash-Tal, +15 % Puffer)</t>
        </is>
      </c>
      <c r="B48" s="17">
        <f>-MIN(B45:G45)*1.15</f>
        <v/>
      </c>
    </row>
    <row r="49">
      <c r="A49" s="3" t="inlineStr">
        <is>
          <t>Break-even-Jahr (EBITDA ≥ 0)</t>
        </is>
      </c>
      <c r="B49" s="22">
        <f>IF(MAX(B41:G41)&lt;0,"n. e.",MIN(IF(B41:G41&gt;=0,{2026,2027,2028,2029,2030,2031})))</f>
        <v/>
      </c>
    </row>
    <row r="50"/>
    <row r="51">
      <c r="A51" s="4" t="inlineStr">
        <is>
          <t>Zeilenreferenzen: siehe 'Szenariovergleich' und 'Returns'.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Szenariovergleich — Kernkennzahlen</t>
        </is>
      </c>
    </row>
    <row r="3">
      <c r="A3" s="5" t="inlineStr">
        <is>
          <t>Kennzahl</t>
        </is>
      </c>
      <c r="B3" s="5" t="inlineStr">
        <is>
          <t>Konservativ</t>
        </is>
      </c>
      <c r="C3" s="5" t="inlineStr">
        <is>
          <t>Base</t>
        </is>
      </c>
      <c r="D3" s="5" t="inlineStr">
        <is>
          <t>Upside</t>
        </is>
      </c>
    </row>
    <row r="4">
      <c r="A4" s="2" t="inlineStr">
        <is>
          <t>Einheiten Jahr 5 (2031)</t>
        </is>
      </c>
      <c r="B4" s="23">
        <f>Konservativ!G5</f>
        <v/>
      </c>
      <c r="C4" s="23">
        <f>Base!G5</f>
        <v/>
      </c>
      <c r="D4" s="23">
        <f>Upside!G5</f>
        <v/>
      </c>
    </row>
    <row r="5">
      <c r="A5" s="2" t="inlineStr">
        <is>
          <t>Kumulierte installierte Basis 2031</t>
        </is>
      </c>
      <c r="B5" s="23">
        <f>Konservativ!G18</f>
        <v/>
      </c>
      <c r="C5" s="23">
        <f>Base!G18</f>
        <v/>
      </c>
      <c r="D5" s="23">
        <f>Upside!G18</f>
        <v/>
      </c>
    </row>
    <row r="6">
      <c r="A6" s="2" t="inlineStr">
        <is>
          <t>Umsatz 2031</t>
        </is>
      </c>
      <c r="B6" s="24">
        <f>Konservativ!G28</f>
        <v/>
      </c>
      <c r="C6" s="24">
        <f>Base!G28</f>
        <v/>
      </c>
      <c r="D6" s="24">
        <f>Upside!G28</f>
        <v/>
      </c>
    </row>
    <row r="7">
      <c r="A7" s="2" t="inlineStr">
        <is>
          <t>— davon wiederkehrend (Material+Service+SW)</t>
        </is>
      </c>
      <c r="B7" s="24">
        <f>Konservativ!G24+Konservativ!G25+Konservativ!G26</f>
        <v/>
      </c>
      <c r="C7" s="24">
        <f>Base!G24+Base!G25+Base!G26</f>
        <v/>
      </c>
      <c r="D7" s="24">
        <f>Upside!G24+Upside!G25+Upside!G26</f>
        <v/>
      </c>
    </row>
    <row r="8">
      <c r="A8" s="2" t="inlineStr">
        <is>
          <t>Bruttomarge 2031</t>
        </is>
      </c>
      <c r="B8" s="25">
        <f>Konservativ!G33</f>
        <v/>
      </c>
      <c r="C8" s="25">
        <f>Base!G33</f>
        <v/>
      </c>
      <c r="D8" s="25">
        <f>Upside!G33</f>
        <v/>
      </c>
    </row>
    <row r="9">
      <c r="A9" s="2" t="inlineStr">
        <is>
          <t>EBITDA 2031</t>
        </is>
      </c>
      <c r="B9" s="24">
        <f>Konservativ!G41</f>
        <v/>
      </c>
      <c r="C9" s="24">
        <f>Base!G41</f>
        <v/>
      </c>
      <c r="D9" s="24">
        <f>Upside!G41</f>
        <v/>
      </c>
    </row>
    <row r="10">
      <c r="A10" s="2" t="inlineStr">
        <is>
          <t>EBITDA-Marge 2031</t>
        </is>
      </c>
      <c r="B10" s="25">
        <f>Konservativ!G42</f>
        <v/>
      </c>
      <c r="C10" s="25">
        <f>Base!G42</f>
        <v/>
      </c>
      <c r="D10" s="25">
        <f>Upside!G42</f>
        <v/>
      </c>
    </row>
    <row r="11">
      <c r="A11" s="2" t="inlineStr">
        <is>
          <t>Kapitalbedarf brutto (inkl. Puffer)</t>
        </is>
      </c>
      <c r="B11" s="24">
        <f>Konservativ!B48</f>
        <v/>
      </c>
      <c r="C11" s="24">
        <f>Base!B48</f>
        <v/>
      </c>
      <c r="D11" s="24">
        <f>Upside!B48</f>
        <v/>
      </c>
    </row>
    <row r="12">
      <c r="A12" s="2" t="inlineStr">
        <is>
          <t>Break-even-Jahr</t>
        </is>
      </c>
      <c r="B12" s="23">
        <f>Konservativ!B49</f>
        <v/>
      </c>
      <c r="C12" s="23">
        <f>Base!B49</f>
        <v/>
      </c>
      <c r="D12" s="23">
        <f>Upside!B49</f>
        <v/>
      </c>
    </row>
    <row r="14">
      <c r="A14" s="26" t="inlineStr">
        <is>
          <t>Datenreihen (für Diagramme)</t>
        </is>
      </c>
    </row>
    <row r="15">
      <c r="A15" s="3" t="inlineStr">
        <is>
          <t>Jahr</t>
        </is>
      </c>
      <c r="B15" s="3" t="n">
        <v>2026</v>
      </c>
      <c r="C15" s="3" t="n">
        <v>2027</v>
      </c>
      <c r="D15" s="3" t="n">
        <v>2028</v>
      </c>
      <c r="E15" s="3" t="n">
        <v>2029</v>
      </c>
      <c r="F15" s="3" t="n">
        <v>2030</v>
      </c>
      <c r="G15" s="3" t="n">
        <v>2031</v>
      </c>
    </row>
    <row r="16">
      <c r="A16" s="2" t="inlineStr">
        <is>
          <t>Umsatz Konservativ</t>
        </is>
      </c>
      <c r="B16" s="27">
        <f>Konservativ!B28</f>
        <v/>
      </c>
      <c r="C16" s="27">
        <f>Konservativ!C28</f>
        <v/>
      </c>
      <c r="D16" s="27">
        <f>Konservativ!D28</f>
        <v/>
      </c>
      <c r="E16" s="27">
        <f>Konservativ!E28</f>
        <v/>
      </c>
      <c r="F16" s="27">
        <f>Konservativ!F28</f>
        <v/>
      </c>
      <c r="G16" s="27">
        <f>Konservativ!G28</f>
        <v/>
      </c>
    </row>
    <row r="17">
      <c r="A17" s="2" t="inlineStr">
        <is>
          <t>Umsatz Base</t>
        </is>
      </c>
      <c r="B17" s="27">
        <f>Base!B28</f>
        <v/>
      </c>
      <c r="C17" s="27">
        <f>Base!C28</f>
        <v/>
      </c>
      <c r="D17" s="27">
        <f>Base!D28</f>
        <v/>
      </c>
      <c r="E17" s="27">
        <f>Base!E28</f>
        <v/>
      </c>
      <c r="F17" s="27">
        <f>Base!F28</f>
        <v/>
      </c>
      <c r="G17" s="27">
        <f>Base!G28</f>
        <v/>
      </c>
    </row>
    <row r="18">
      <c r="A18" s="2" t="inlineStr">
        <is>
          <t>Umsatz Upside</t>
        </is>
      </c>
      <c r="B18" s="27">
        <f>Upside!B28</f>
        <v/>
      </c>
      <c r="C18" s="27">
        <f>Upside!C28</f>
        <v/>
      </c>
      <c r="D18" s="27">
        <f>Upside!D28</f>
        <v/>
      </c>
      <c r="E18" s="27">
        <f>Upside!E28</f>
        <v/>
      </c>
      <c r="F18" s="27">
        <f>Upside!F28</f>
        <v/>
      </c>
      <c r="G18" s="27">
        <f>Upside!G28</f>
        <v/>
      </c>
    </row>
    <row r="19">
      <c r="A19" s="2" t="inlineStr">
        <is>
          <t>EBITDA Konservativ</t>
        </is>
      </c>
      <c r="B19" s="27">
        <f>Konservativ!B41</f>
        <v/>
      </c>
      <c r="C19" s="27">
        <f>Konservativ!C41</f>
        <v/>
      </c>
      <c r="D19" s="27">
        <f>Konservativ!D41</f>
        <v/>
      </c>
      <c r="E19" s="27">
        <f>Konservativ!E41</f>
        <v/>
      </c>
      <c r="F19" s="27">
        <f>Konservativ!F41</f>
        <v/>
      </c>
      <c r="G19" s="27">
        <f>Konservativ!G41</f>
        <v/>
      </c>
    </row>
    <row r="20">
      <c r="A20" s="2" t="inlineStr">
        <is>
          <t>EBITDA Base</t>
        </is>
      </c>
      <c r="B20" s="27">
        <f>Base!B41</f>
        <v/>
      </c>
      <c r="C20" s="27">
        <f>Base!C41</f>
        <v/>
      </c>
      <c r="D20" s="27">
        <f>Base!D41</f>
        <v/>
      </c>
      <c r="E20" s="27">
        <f>Base!E41</f>
        <v/>
      </c>
      <c r="F20" s="27">
        <f>Base!F41</f>
        <v/>
      </c>
      <c r="G20" s="27">
        <f>Base!G41</f>
        <v/>
      </c>
    </row>
    <row r="21">
      <c r="A21" s="2" t="inlineStr">
        <is>
          <t>EBITDA Upside</t>
        </is>
      </c>
      <c r="B21" s="27">
        <f>Upside!B41</f>
        <v/>
      </c>
      <c r="C21" s="27">
        <f>Upside!C41</f>
        <v/>
      </c>
      <c r="D21" s="27">
        <f>Upside!D41</f>
        <v/>
      </c>
      <c r="E21" s="27">
        <f>Upside!E41</f>
        <v/>
      </c>
      <c r="F21" s="27">
        <f>Upside!F41</f>
        <v/>
      </c>
      <c r="G21" s="27">
        <f>Upside!G41</f>
        <v/>
      </c>
    </row>
    <row r="22">
      <c r="A22" s="2" t="inlineStr">
        <is>
          <t>Kum. Cash Base</t>
        </is>
      </c>
      <c r="B22" s="27">
        <f>Base!B45</f>
        <v/>
      </c>
      <c r="C22" s="27">
        <f>Base!C45</f>
        <v/>
      </c>
      <c r="D22" s="27">
        <f>Base!D45</f>
        <v/>
      </c>
      <c r="E22" s="27">
        <f>Base!E45</f>
        <v/>
      </c>
      <c r="F22" s="27">
        <f>Base!F45</f>
        <v/>
      </c>
      <c r="G22" s="27">
        <f>Base!G45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Sensitivitätsanalyse (Base Case)</t>
        </is>
      </c>
    </row>
    <row r="2">
      <c r="A2" s="4" t="inlineStr">
        <is>
          <t>Wirkung einzelner Treiber auf EBITDA 2031 und Kapitalbedarf. Python-berechnet aus identischer Modelllogik; Formelmodell in den Szenario-Sheets.</t>
        </is>
      </c>
    </row>
    <row r="4">
      <c r="A4" s="5" t="inlineStr">
        <is>
          <t>Treiber</t>
        </is>
      </c>
      <c r="B4" s="5" t="inlineStr">
        <is>
          <t>Variation</t>
        </is>
      </c>
      <c r="C4" s="5" t="inlineStr">
        <is>
          <t>EBITDA 2031 (k€)</t>
        </is>
      </c>
      <c r="D4" s="5" t="inlineStr">
        <is>
          <t>Δ EBITDA</t>
        </is>
      </c>
      <c r="E4" s="5" t="inlineStr">
        <is>
          <t>Kapitalbedarf (k€)</t>
        </is>
      </c>
      <c r="F4" s="5" t="inlineStr">
        <is>
          <t>Δ Bedarf</t>
        </is>
      </c>
    </row>
    <row r="5">
      <c r="A5" s="2" t="inlineStr">
        <is>
          <t>Stückzahlen (-30 %)</t>
        </is>
      </c>
      <c r="B5" s="16" t="inlineStr">
        <is>
          <t>-30 %</t>
        </is>
      </c>
      <c r="C5" s="24" t="n">
        <v>-786</v>
      </c>
      <c r="D5" s="24" t="n">
        <v>-1836</v>
      </c>
      <c r="E5" s="24" t="n">
        <v>16813</v>
      </c>
      <c r="F5" s="24" t="n">
        <v>3639</v>
      </c>
    </row>
    <row r="6">
      <c r="A6" s="2" t="inlineStr">
        <is>
          <t>Stückzahlen (+30 %)</t>
        </is>
      </c>
      <c r="B6" s="16" t="inlineStr">
        <is>
          <t>+30 %</t>
        </is>
      </c>
      <c r="C6" s="24" t="n">
        <v>2887</v>
      </c>
      <c r="D6" s="24" t="n">
        <v>1836</v>
      </c>
      <c r="E6" s="24" t="n">
        <v>11184</v>
      </c>
      <c r="F6" s="24" t="n">
        <v>-1990</v>
      </c>
    </row>
    <row r="7">
      <c r="A7" s="2" t="inlineStr">
        <is>
          <t>Verkaufspreis (ASP) (-15 %)</t>
        </is>
      </c>
      <c r="B7" s="16" t="inlineStr">
        <is>
          <t>-15 %</t>
        </is>
      </c>
      <c r="C7" s="24" t="n">
        <v>137</v>
      </c>
      <c r="D7" s="24" t="n">
        <v>-914</v>
      </c>
      <c r="E7" s="24" t="n">
        <v>15124</v>
      </c>
      <c r="F7" s="24" t="n">
        <v>1949</v>
      </c>
    </row>
    <row r="8">
      <c r="A8" s="2" t="inlineStr">
        <is>
          <t>Verkaufspreis (ASP) (+15 %)</t>
        </is>
      </c>
      <c r="B8" s="16" t="inlineStr">
        <is>
          <t>+15 %</t>
        </is>
      </c>
      <c r="C8" s="24" t="n">
        <v>1964</v>
      </c>
      <c r="D8" s="24" t="n">
        <v>914</v>
      </c>
      <c r="E8" s="24" t="n">
        <v>11951</v>
      </c>
      <c r="F8" s="24" t="n">
        <v>-1224</v>
      </c>
    </row>
    <row r="9">
      <c r="A9" s="2" t="inlineStr">
        <is>
          <t>Maschinen-COGS (+5 pp)</t>
        </is>
      </c>
      <c r="B9" s="16" t="inlineStr">
        <is>
          <t>+5 pp</t>
        </is>
      </c>
      <c r="C9" s="24" t="n">
        <v>416</v>
      </c>
      <c r="D9" s="24" t="n">
        <v>-635</v>
      </c>
      <c r="E9" s="24" t="n">
        <v>14799</v>
      </c>
      <c r="F9" s="24" t="n">
        <v>1625</v>
      </c>
    </row>
    <row r="10">
      <c r="A10" s="2" t="inlineStr">
        <is>
          <t>Maschinen-COGS (-5 pp)</t>
        </is>
      </c>
      <c r="B10" s="16" t="inlineStr">
        <is>
          <t>-5 pp</t>
        </is>
      </c>
      <c r="C10" s="24" t="n">
        <v>1686</v>
      </c>
      <c r="D10" s="24" t="n">
        <v>635</v>
      </c>
      <c r="E10" s="24" t="n">
        <v>12050</v>
      </c>
      <c r="F10" s="24" t="n">
        <v>-1124</v>
      </c>
    </row>
    <row r="11">
      <c r="A11" s="2" t="inlineStr">
        <is>
          <t>Attach-Umsätze (-50 %)</t>
        </is>
      </c>
      <c r="B11" s="16" t="inlineStr">
        <is>
          <t>-50 %</t>
        </is>
      </c>
      <c r="C11" s="24" t="n">
        <v>141</v>
      </c>
      <c r="D11" s="24" t="n">
        <v>-910</v>
      </c>
      <c r="E11" s="24" t="n">
        <v>14882</v>
      </c>
      <c r="F11" s="24" t="n">
        <v>1708</v>
      </c>
    </row>
    <row r="12">
      <c r="A12" s="2" t="inlineStr">
        <is>
          <t>Attach-Umsätze (+50 %)</t>
        </is>
      </c>
      <c r="B12" s="16" t="inlineStr">
        <is>
          <t>+50 %</t>
        </is>
      </c>
      <c r="C12" s="24" t="n">
        <v>1960</v>
      </c>
      <c r="D12" s="24" t="n">
        <v>910</v>
      </c>
      <c r="E12" s="24" t="n">
        <v>12182</v>
      </c>
      <c r="F12" s="24" t="n">
        <v>-992</v>
      </c>
    </row>
    <row r="13">
      <c r="A13" s="2" t="inlineStr">
        <is>
          <t>CAC (+50 %)</t>
        </is>
      </c>
      <c r="B13" s="16" t="inlineStr">
        <is>
          <t>+50 %</t>
        </is>
      </c>
      <c r="C13" s="24" t="n">
        <v>376</v>
      </c>
      <c r="D13" s="24" t="n">
        <v>-675</v>
      </c>
      <c r="E13" s="24" t="n">
        <v>14944</v>
      </c>
      <c r="F13" s="24" t="n">
        <v>1770</v>
      </c>
    </row>
    <row r="14">
      <c r="A14" s="2" t="inlineStr">
        <is>
          <t>CAC (-50 %)</t>
        </is>
      </c>
      <c r="B14" s="16" t="inlineStr">
        <is>
          <t>-50 %</t>
        </is>
      </c>
      <c r="C14" s="24" t="n">
        <v>1726</v>
      </c>
      <c r="D14" s="24" t="n">
        <v>675</v>
      </c>
      <c r="E14" s="24" t="n">
        <v>11951</v>
      </c>
      <c r="F14" s="24" t="n">
        <v>-1223</v>
      </c>
    </row>
    <row r="15">
      <c r="A15" s="3" t="inlineStr">
        <is>
          <t>Basiswert (Base Case)</t>
        </is>
      </c>
      <c r="C15" s="17" t="n">
        <v>1051</v>
      </c>
      <c r="E15" s="17" t="n">
        <v>13174</v>
      </c>
    </row>
    <row r="17">
      <c r="A17" s="26" t="inlineStr">
        <is>
          <t>Tornado: Δ EBITDA 2031 (k€)</t>
        </is>
      </c>
    </row>
    <row r="18">
      <c r="A18" s="2" t="inlineStr">
        <is>
          <t>Stückzahlen -30 %</t>
        </is>
      </c>
      <c r="B18" s="27" t="n">
        <v>-1836</v>
      </c>
    </row>
    <row r="19">
      <c r="A19" s="2" t="inlineStr">
        <is>
          <t>Stückzahlen +30 %</t>
        </is>
      </c>
      <c r="B19" s="27" t="n">
        <v>1836</v>
      </c>
    </row>
    <row r="20">
      <c r="A20" s="2" t="inlineStr">
        <is>
          <t>Verkaufspreis (ASP) -15 %</t>
        </is>
      </c>
      <c r="B20" s="27" t="n">
        <v>-914</v>
      </c>
    </row>
    <row r="21">
      <c r="A21" s="2" t="inlineStr">
        <is>
          <t>Verkaufspreis (ASP) +15 %</t>
        </is>
      </c>
      <c r="B21" s="27" t="n">
        <v>914</v>
      </c>
    </row>
    <row r="22">
      <c r="A22" s="2" t="inlineStr">
        <is>
          <t>Attach-Umsätze -50 %</t>
        </is>
      </c>
      <c r="B22" s="27" t="n">
        <v>-910</v>
      </c>
    </row>
    <row r="23">
      <c r="A23" s="2" t="inlineStr">
        <is>
          <t>Attach-Umsätze +50 %</t>
        </is>
      </c>
      <c r="B23" s="27" t="n">
        <v>910</v>
      </c>
    </row>
    <row r="24">
      <c r="A24" s="2" t="inlineStr">
        <is>
          <t>CAC +50 %</t>
        </is>
      </c>
      <c r="B24" s="27" t="n">
        <v>-675</v>
      </c>
    </row>
    <row r="25">
      <c r="A25" s="2" t="inlineStr">
        <is>
          <t>CAC -50 %</t>
        </is>
      </c>
      <c r="B25" s="27" t="n">
        <v>675</v>
      </c>
    </row>
    <row r="26">
      <c r="A26" s="2" t="inlineStr">
        <is>
          <t>Maschinen-COGS +5 pp</t>
        </is>
      </c>
      <c r="B26" s="27" t="n">
        <v>-635</v>
      </c>
    </row>
    <row r="27">
      <c r="A27" s="2" t="inlineStr">
        <is>
          <t>Maschinen-COGS -5 pp</t>
        </is>
      </c>
      <c r="B27" s="27" t="n">
        <v>635</v>
      </c>
    </row>
    <row r="29">
      <c r="A29" s="4" t="inlineStr">
        <is>
          <t>Lesart: Stückzahlen und COGS dominieren; Attach-Umsätze entscheiden über die Margenqualität ab Jahr 4; der Case bricht bei ASP −15 % nicht zusammen (Preissetzungs-Puffer).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Investor Returns — Exit-Rechnung</t>
        </is>
      </c>
    </row>
    <row r="2">
      <c r="A2" s="4" t="inlineStr">
        <is>
          <t>Konvention: Investor stellt den vollen Equity-Bedarf in Tranchen; Anteil = Verhandlungsannahme (Annahmen-Sheet). Terminalperspektive Jahr 7 mit Wachstums-/Margenannahmen je Szenario.</t>
        </is>
      </c>
    </row>
    <row r="4">
      <c r="A4" s="5" t="inlineStr">
        <is>
          <t>Position</t>
        </is>
      </c>
      <c r="B4" s="5" t="inlineStr">
        <is>
          <t>Konservativ</t>
        </is>
      </c>
      <c r="C4" s="5" t="inlineStr">
        <is>
          <t>Base</t>
        </is>
      </c>
      <c r="D4" s="5" t="inlineStr">
        <is>
          <t>Upside</t>
        </is>
      </c>
    </row>
    <row r="5">
      <c r="A5" s="2" t="inlineStr">
        <is>
          <t>Investiertes Kapital (= Kapitalbedarf brutto)</t>
        </is>
      </c>
      <c r="B5" s="27">
        <f>Konservativ!B48</f>
        <v/>
      </c>
      <c r="C5" s="27">
        <f>Base!B48</f>
        <v/>
      </c>
      <c r="D5" s="27">
        <f>Upside!B48</f>
        <v/>
      </c>
    </row>
    <row r="6">
      <c r="A6" s="2" t="inlineStr">
        <is>
          <t>Umsatz 2031 (Jahr 5)</t>
        </is>
      </c>
      <c r="B6" s="27">
        <f>Konservativ!G28</f>
        <v/>
      </c>
      <c r="C6" s="27">
        <f>Base!G28</f>
        <v/>
      </c>
      <c r="D6" s="27">
        <f>Upside!G28</f>
        <v/>
      </c>
    </row>
    <row r="7">
      <c r="A7" s="2" t="inlineStr">
        <is>
          <t>Enterprise Value 2031 (Umsatz × Exit-Multiple)</t>
        </is>
      </c>
      <c r="B7" s="27">
        <f>B6*Annahmen!$B$17</f>
        <v/>
      </c>
      <c r="C7" s="27">
        <f>C6*Annahmen!$C$17</f>
        <v/>
      </c>
      <c r="D7" s="27">
        <f>D6*Annahmen!$D$17</f>
        <v/>
      </c>
    </row>
    <row r="8">
      <c r="A8" s="3" t="inlineStr">
        <is>
          <t>MOIC bei Exit Jahr 5</t>
        </is>
      </c>
      <c r="B8" s="28">
        <f>B7*Annahmen!$B$18/B5</f>
        <v/>
      </c>
      <c r="C8" s="28">
        <f>C7*Annahmen!$C$18/C5</f>
        <v/>
      </c>
      <c r="D8" s="28">
        <f>D7*Annahmen!$D$18/D5</f>
        <v/>
      </c>
    </row>
    <row r="10">
      <c r="A10" s="26" t="inlineStr">
        <is>
          <t>Terminalperspektive Jahr 7 (2033)</t>
        </is>
      </c>
    </row>
    <row r="11">
      <c r="A11" s="2" t="inlineStr">
        <is>
          <t>Umsatz 2033 (Wachstum p.a.: K 15% / B 30% / U 35%)</t>
        </is>
      </c>
      <c r="B11" s="27">
        <f>B6*1.3225</f>
        <v/>
      </c>
      <c r="C11" s="27">
        <f>C6*1.6900</f>
        <v/>
      </c>
      <c r="D11" s="27">
        <f>D6*1.8225</f>
        <v/>
      </c>
    </row>
    <row r="12">
      <c r="A12" s="2" t="inlineStr">
        <is>
          <t>Enterprise Value 2033</t>
        </is>
      </c>
      <c r="B12" s="27">
        <f>B11*Annahmen!$B$17</f>
        <v/>
      </c>
      <c r="C12" s="27">
        <f>C11*Annahmen!$C$17</f>
        <v/>
      </c>
      <c r="D12" s="27">
        <f>D11*Annahmen!$D$17</f>
        <v/>
      </c>
    </row>
    <row r="13">
      <c r="A13" s="3" t="inlineStr">
        <is>
          <t>MOIC bei Exit Jahr 7</t>
        </is>
      </c>
      <c r="B13" s="28">
        <f>B12*Annahmen!$B$18/B5</f>
        <v/>
      </c>
      <c r="C13" s="28">
        <f>C12*Annahmen!$C$18/C5</f>
        <v/>
      </c>
      <c r="D13" s="28">
        <f>D12*Annahmen!$D$18/D5</f>
        <v/>
      </c>
    </row>
    <row r="14">
      <c r="A14" s="2" t="inlineStr">
        <is>
          <t>Cashflows für IRR (t0–t7)</t>
        </is>
      </c>
    </row>
    <row r="15">
      <c r="A15" s="4" t="inlineStr">
        <is>
          <t>t0 (2026)</t>
        </is>
      </c>
      <c r="B15" s="27">
        <f>-0.4*B5</f>
        <v/>
      </c>
      <c r="C15" s="27">
        <f>-0.4*C5</f>
        <v/>
      </c>
      <c r="D15" s="27">
        <f>-0.4*D5</f>
        <v/>
      </c>
    </row>
    <row r="16">
      <c r="A16" s="4" t="inlineStr">
        <is>
          <t>t1 (2027)</t>
        </is>
      </c>
      <c r="B16" s="27">
        <f>-0.35*B5</f>
        <v/>
      </c>
      <c r="C16" s="27">
        <f>-0.35*C5</f>
        <v/>
      </c>
      <c r="D16" s="27">
        <f>-0.35*D5</f>
        <v/>
      </c>
    </row>
    <row r="17">
      <c r="A17" s="4" t="inlineStr">
        <is>
          <t>t2 (2028)</t>
        </is>
      </c>
      <c r="B17" s="27">
        <f>-0.25*B5</f>
        <v/>
      </c>
      <c r="C17" s="27">
        <f>-0.25*C5</f>
        <v/>
      </c>
      <c r="D17" s="27">
        <f>-0.25*D5</f>
        <v/>
      </c>
    </row>
    <row r="18">
      <c r="A18" s="4" t="inlineStr">
        <is>
          <t>t3 (2029)</t>
        </is>
      </c>
      <c r="B18" s="27">
        <f>0*B5</f>
        <v/>
      </c>
      <c r="C18" s="27">
        <f>0*C5</f>
        <v/>
      </c>
      <c r="D18" s="27">
        <f>0*D5</f>
        <v/>
      </c>
    </row>
    <row r="19">
      <c r="A19" s="4" t="inlineStr">
        <is>
          <t>t4 (2030)</t>
        </is>
      </c>
      <c r="B19" s="27">
        <f>0*B5</f>
        <v/>
      </c>
      <c r="C19" s="27">
        <f>0*C5</f>
        <v/>
      </c>
      <c r="D19" s="27">
        <f>0*D5</f>
        <v/>
      </c>
    </row>
    <row r="20">
      <c r="A20" s="4" t="inlineStr">
        <is>
          <t>t5 (2031)</t>
        </is>
      </c>
      <c r="B20" s="27">
        <f>0*B5</f>
        <v/>
      </c>
      <c r="C20" s="27">
        <f>0*C5</f>
        <v/>
      </c>
      <c r="D20" s="27">
        <f>0*D5</f>
        <v/>
      </c>
    </row>
    <row r="21">
      <c r="A21" s="4" t="inlineStr">
        <is>
          <t>t6 (2032)</t>
        </is>
      </c>
      <c r="B21" s="27">
        <f>0*B5</f>
        <v/>
      </c>
      <c r="C21" s="27">
        <f>0*C5</f>
        <v/>
      </c>
      <c r="D21" s="27">
        <f>0*D5</f>
        <v/>
      </c>
    </row>
    <row r="22">
      <c r="A22" s="4" t="inlineStr">
        <is>
          <t>t7 (2033)</t>
        </is>
      </c>
      <c r="B22" s="27">
        <f>B12*Annahmen!$B$18</f>
        <v/>
      </c>
      <c r="C22" s="27">
        <f>C12*Annahmen!$C$18</f>
        <v/>
      </c>
      <c r="D22" s="27">
        <f>D12*Annahmen!$D$18</f>
        <v/>
      </c>
    </row>
    <row r="23">
      <c r="A23" s="3" t="inlineStr">
        <is>
          <t>IRR (7 Jahre, tranchiert 40/35/25 %)</t>
        </is>
      </c>
      <c r="B23" s="29">
        <f>IRR(B15:B22)</f>
        <v/>
      </c>
      <c r="C23" s="29">
        <f>IRR(C15:C22)</f>
        <v/>
      </c>
      <c r="D23" s="29">
        <f>IRR(D15:D22)</f>
        <v/>
      </c>
    </row>
    <row r="25">
      <c r="A25" s="4" t="inlineStr">
        <is>
          <t>Lesart: Nur der Upside-Fall liefert venture-taugliche Renditen. Base = solide, aber unter Venture-Schwelle. Konservativ = Kapitalverlust → No-Go-Kriterien in business-plan/investment-thesis.md.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2026-08-15T07:46:09Z</dcterms:created>
  <dcterms:modified xmlns:dcterms="http://purl.org/dc/terms/" xmlns:xsi="http://www.w3.org/2001/XMLSchema-instance" xsi:type="dcterms:W3CDTF">2026-08-15T07:46:09Z</dcterms:modified>
</cp:coreProperties>
</file>